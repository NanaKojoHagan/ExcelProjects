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 Dzadey Awuku\Desktop\Analytics Projects  (Ocado)\"/>
    </mc:Choice>
  </mc:AlternateContent>
  <xr:revisionPtr revIDLastSave="0" documentId="13_ncr:1_{657E5958-A19A-4CB5-92DE-E29AA8ED4C7C}" xr6:coauthVersionLast="36" xr6:coauthVersionMax="36" xr10:uidLastSave="{00000000-0000-0000-0000-000000000000}"/>
  <bookViews>
    <workbookView xWindow="0" yWindow="0" windowWidth="20490" windowHeight="7695" tabRatio="869" firstSheet="3" activeTab="9" xr2:uid="{244FFA2B-A554-4589-8893-CE5D0ED27913}"/>
  </bookViews>
  <sheets>
    <sheet name="Actual Demand Database" sheetId="1" r:id="rId1"/>
    <sheet name="Naive Forecasts" sheetId="2" r:id="rId2"/>
    <sheet name="Weighted Moving Average" sheetId="3" r:id="rId3"/>
    <sheet name="Exponential Smoothing" sheetId="4" r:id="rId4"/>
    <sheet name="ARIMA " sheetId="12" r:id="rId5"/>
    <sheet name="ARIMA Calculation of Cos" sheetId="14" r:id="rId6"/>
    <sheet name="Measures of Errors" sheetId="11" r:id="rId7"/>
    <sheet name="Safety Stock" sheetId="9" r:id="rId8"/>
    <sheet name="Re-Order Point" sheetId="7" r:id="rId9"/>
    <sheet name="EOQ" sheetId="10" r:id="rId10"/>
  </sheets>
  <definedNames>
    <definedName name="Ch">EOQ!$C$4</definedName>
    <definedName name="Co">EOQ!$C$3</definedName>
    <definedName name="D">EOQ!$C$2</definedName>
    <definedName name="P">EOQ!$C$5</definedName>
    <definedName name="Q">EOQ!$C$10</definedName>
    <definedName name="solver_adj" localSheetId="9" hidden="1">EOQ!$C$10</definedName>
    <definedName name="solver_adj" localSheetId="2" hidden="1">'Weighted Moving Average'!$E$3:$F$3</definedName>
    <definedName name="solver_cvg" localSheetId="9" hidden="1">0.0001</definedName>
    <definedName name="solver_cvg" localSheetId="2" hidden="1">0.0001</definedName>
    <definedName name="solver_drv" localSheetId="9" hidden="1">1</definedName>
    <definedName name="solver_drv" localSheetId="2" hidden="1">2</definedName>
    <definedName name="solver_eng" localSheetId="9" hidden="1">1</definedName>
    <definedName name="solver_eng" localSheetId="2" hidden="1">1</definedName>
    <definedName name="solver_est" localSheetId="9" hidden="1">1</definedName>
    <definedName name="solver_est" localSheetId="2" hidden="1">1</definedName>
    <definedName name="solver_itr" localSheetId="9" hidden="1">2147483647</definedName>
    <definedName name="solver_itr" localSheetId="2" hidden="1">2147483647</definedName>
    <definedName name="solver_lhs1" localSheetId="2" hidden="1">'Weighted Moving Average'!$E$3</definedName>
    <definedName name="solver_lhs2" localSheetId="2" hidden="1">'Weighted Moving Average'!$F$3</definedName>
    <definedName name="solver_lhs3" localSheetId="2" hidden="1">'Weighted Moving Average'!$G$3</definedName>
    <definedName name="solver_mip" localSheetId="9" hidden="1">2147483647</definedName>
    <definedName name="solver_mip" localSheetId="2" hidden="1">2147483647</definedName>
    <definedName name="solver_mni" localSheetId="9" hidden="1">30</definedName>
    <definedName name="solver_mni" localSheetId="2" hidden="1">30</definedName>
    <definedName name="solver_mrt" localSheetId="9" hidden="1">0.075</definedName>
    <definedName name="solver_mrt" localSheetId="2" hidden="1">0.075</definedName>
    <definedName name="solver_msl" localSheetId="9" hidden="1">2</definedName>
    <definedName name="solver_msl" localSheetId="2" hidden="1">2</definedName>
    <definedName name="solver_neg" localSheetId="9" hidden="1">1</definedName>
    <definedName name="solver_neg" localSheetId="2" hidden="1">1</definedName>
    <definedName name="solver_nod" localSheetId="9" hidden="1">2147483647</definedName>
    <definedName name="solver_nod" localSheetId="2" hidden="1">2147483647</definedName>
    <definedName name="solver_num" localSheetId="9" hidden="1">0</definedName>
    <definedName name="solver_num" localSheetId="2" hidden="1">3</definedName>
    <definedName name="solver_nwt" localSheetId="9" hidden="1">1</definedName>
    <definedName name="solver_nwt" localSheetId="2" hidden="1">1</definedName>
    <definedName name="solver_opt" localSheetId="9" hidden="1">EOQ!$C$13</definedName>
    <definedName name="solver_opt" localSheetId="2" hidden="1">'Weighted Moving Average'!$B$3</definedName>
    <definedName name="solver_pre" localSheetId="9" hidden="1">0.000001</definedName>
    <definedName name="solver_pre" localSheetId="2" hidden="1">0.000001</definedName>
    <definedName name="solver_rbv" localSheetId="9" hidden="1">1</definedName>
    <definedName name="solver_rbv" localSheetId="2" hidden="1">2</definedName>
    <definedName name="solver_rel1" localSheetId="2" hidden="1">1</definedName>
    <definedName name="solver_rel2" localSheetId="2" hidden="1">3</definedName>
    <definedName name="solver_rel3" localSheetId="2" hidden="1">2</definedName>
    <definedName name="solver_rhs1" localSheetId="2" hidden="1">'Weighted Moving Average'!$F$3</definedName>
    <definedName name="solver_rhs2" localSheetId="2" hidden="1">0</definedName>
    <definedName name="solver_rhs3" localSheetId="2" hidden="1">1</definedName>
    <definedName name="solver_rlx" localSheetId="9" hidden="1">2</definedName>
    <definedName name="solver_rlx" localSheetId="2" hidden="1">2</definedName>
    <definedName name="solver_rsd" localSheetId="9" hidden="1">0</definedName>
    <definedName name="solver_rsd" localSheetId="2" hidden="1">0</definedName>
    <definedName name="solver_scl" localSheetId="9" hidden="1">1</definedName>
    <definedName name="solver_scl" localSheetId="2" hidden="1">2</definedName>
    <definedName name="solver_sho" localSheetId="9" hidden="1">2</definedName>
    <definedName name="solver_sho" localSheetId="2" hidden="1">2</definedName>
    <definedName name="solver_ssz" localSheetId="9" hidden="1">100</definedName>
    <definedName name="solver_ssz" localSheetId="2" hidden="1">100</definedName>
    <definedName name="solver_tim" localSheetId="9" hidden="1">2147483647</definedName>
    <definedName name="solver_tim" localSheetId="2" hidden="1">2147483647</definedName>
    <definedName name="solver_tol" localSheetId="9" hidden="1">0.01</definedName>
    <definedName name="solver_tol" localSheetId="2" hidden="1">0.01</definedName>
    <definedName name="solver_typ" localSheetId="9" hidden="1">2</definedName>
    <definedName name="solver_typ" localSheetId="2" hidden="1">2</definedName>
    <definedName name="solver_val" localSheetId="9" hidden="1">0</definedName>
    <definedName name="solver_val" localSheetId="2" hidden="1">0</definedName>
    <definedName name="solver_ver" localSheetId="9" hidden="1">3</definedName>
    <definedName name="solver_ver" localSheetId="2" hidden="1">3</definedName>
    <definedName name="Ss">EOQ!$C$6</definedName>
    <definedName name="T">EOQ!$C$13</definedName>
    <definedName name="Th">EOQ!$C$11</definedName>
    <definedName name="To">EOQ!$C$12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12" l="1"/>
  <c r="C45" i="12"/>
  <c r="B45" i="12"/>
  <c r="C44" i="12"/>
  <c r="E45" i="12" s="1"/>
  <c r="B44" i="12"/>
  <c r="C43" i="12"/>
  <c r="B43" i="12"/>
  <c r="C42" i="12"/>
  <c r="B42" i="12"/>
  <c r="C41" i="12"/>
  <c r="B41" i="12"/>
  <c r="C40" i="12"/>
  <c r="B40" i="12"/>
  <c r="C39" i="12"/>
  <c r="B39" i="12"/>
  <c r="C38" i="12"/>
  <c r="E39" i="12" s="1"/>
  <c r="B38" i="12"/>
  <c r="C37" i="12"/>
  <c r="B37" i="12"/>
  <c r="C36" i="12"/>
  <c r="B36" i="12"/>
  <c r="C35" i="12"/>
  <c r="B35" i="12"/>
  <c r="C34" i="12"/>
  <c r="E35" i="12" s="1"/>
  <c r="B34" i="12"/>
  <c r="C33" i="12"/>
  <c r="B33" i="12"/>
  <c r="C32" i="12"/>
  <c r="E33" i="12" s="1"/>
  <c r="B32" i="12"/>
  <c r="C31" i="12"/>
  <c r="B31" i="12"/>
  <c r="C30" i="12"/>
  <c r="E31" i="12" s="1"/>
  <c r="B30" i="12"/>
  <c r="C29" i="12"/>
  <c r="B29" i="12"/>
  <c r="C28" i="12"/>
  <c r="E29" i="12" s="1"/>
  <c r="B28" i="12"/>
  <c r="C27" i="12"/>
  <c r="B27" i="12"/>
  <c r="C26" i="12"/>
  <c r="E27" i="12" s="1"/>
  <c r="B26" i="12"/>
  <c r="C25" i="12"/>
  <c r="B25" i="12"/>
  <c r="C24" i="12"/>
  <c r="E25" i="12" s="1"/>
  <c r="B24" i="12"/>
  <c r="C23" i="12"/>
  <c r="B23" i="12"/>
  <c r="C22" i="12"/>
  <c r="E23" i="12" s="1"/>
  <c r="B22" i="12"/>
  <c r="C21" i="12"/>
  <c r="B21" i="12"/>
  <c r="C20" i="12"/>
  <c r="E21" i="12" s="1"/>
  <c r="B20" i="12"/>
  <c r="C19" i="12"/>
  <c r="B19" i="12"/>
  <c r="C18" i="12"/>
  <c r="E19" i="12" s="1"/>
  <c r="B18" i="12"/>
  <c r="C17" i="12"/>
  <c r="B17" i="12"/>
  <c r="C16" i="12"/>
  <c r="E17" i="12" s="1"/>
  <c r="B16" i="12"/>
  <c r="C15" i="12"/>
  <c r="B15" i="12"/>
  <c r="C14" i="12"/>
  <c r="E15" i="12" s="1"/>
  <c r="B14" i="12"/>
  <c r="C13" i="12"/>
  <c r="B13" i="12"/>
  <c r="C12" i="12"/>
  <c r="E13" i="12" s="1"/>
  <c r="B12" i="12"/>
  <c r="C11" i="12"/>
  <c r="B11" i="12"/>
  <c r="C10" i="12"/>
  <c r="E10" i="12" s="1"/>
  <c r="B10" i="12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10" i="3"/>
  <c r="E46" i="12" l="1"/>
  <c r="E41" i="12"/>
  <c r="E43" i="12"/>
  <c r="D19" i="12"/>
  <c r="G19" i="12" s="1"/>
  <c r="D25" i="12"/>
  <c r="D35" i="12"/>
  <c r="G35" i="12" s="1"/>
  <c r="D41" i="12"/>
  <c r="D11" i="12"/>
  <c r="D15" i="12"/>
  <c r="D21" i="12"/>
  <c r="G21" i="12" s="1"/>
  <c r="D23" i="12"/>
  <c r="G23" i="12" s="1"/>
  <c r="D27" i="12"/>
  <c r="G27" i="12" s="1"/>
  <c r="D31" i="12"/>
  <c r="G31" i="12" s="1"/>
  <c r="D33" i="12"/>
  <c r="G33" i="12" s="1"/>
  <c r="I33" i="12" s="1"/>
  <c r="D37" i="12"/>
  <c r="G37" i="12" s="1"/>
  <c r="I37" i="12" s="1"/>
  <c r="D39" i="12"/>
  <c r="D43" i="12"/>
  <c r="E37" i="12"/>
  <c r="D46" i="12"/>
  <c r="D42" i="12"/>
  <c r="D38" i="12"/>
  <c r="G38" i="12" s="1"/>
  <c r="D34" i="12"/>
  <c r="G34" i="12" s="1"/>
  <c r="D30" i="12"/>
  <c r="G30" i="12" s="1"/>
  <c r="D26" i="12"/>
  <c r="G26" i="12" s="1"/>
  <c r="H26" i="12" s="1"/>
  <c r="J26" i="12" s="1"/>
  <c r="D22" i="12"/>
  <c r="G22" i="12" s="1"/>
  <c r="I22" i="12" s="1"/>
  <c r="D18" i="12"/>
  <c r="G18" i="12" s="1"/>
  <c r="I18" i="12" s="1"/>
  <c r="D14" i="12"/>
  <c r="E14" i="12"/>
  <c r="E18" i="12"/>
  <c r="E24" i="12"/>
  <c r="E30" i="12"/>
  <c r="E36" i="12"/>
  <c r="E40" i="12"/>
  <c r="D45" i="12"/>
  <c r="G45" i="12" s="1"/>
  <c r="D29" i="12"/>
  <c r="G29" i="12" s="1"/>
  <c r="H29" i="12" s="1"/>
  <c r="J29" i="12" s="1"/>
  <c r="D17" i="12"/>
  <c r="G17" i="12" s="1"/>
  <c r="D13" i="12"/>
  <c r="G13" i="12" s="1"/>
  <c r="E11" i="12"/>
  <c r="E12" i="12"/>
  <c r="E16" i="12"/>
  <c r="E20" i="12"/>
  <c r="E22" i="12"/>
  <c r="E26" i="12"/>
  <c r="E28" i="12"/>
  <c r="E32" i="12"/>
  <c r="E34" i="12"/>
  <c r="E38" i="12"/>
  <c r="E42" i="12"/>
  <c r="E44" i="12"/>
  <c r="D44" i="12"/>
  <c r="G44" i="12" s="1"/>
  <c r="D40" i="12"/>
  <c r="D36" i="12"/>
  <c r="D32" i="12"/>
  <c r="G32" i="12" s="1"/>
  <c r="D28" i="12"/>
  <c r="G28" i="12" s="1"/>
  <c r="D24" i="12"/>
  <c r="G24" i="12" s="1"/>
  <c r="I24" i="12" s="1"/>
  <c r="D20" i="12"/>
  <c r="G20" i="12" s="1"/>
  <c r="D16" i="12"/>
  <c r="D12" i="12"/>
  <c r="G12" i="12" s="1"/>
  <c r="G14" i="12"/>
  <c r="G16" i="12"/>
  <c r="G25" i="12"/>
  <c r="G15" i="12"/>
  <c r="G43" i="12"/>
  <c r="G36" i="12"/>
  <c r="C11" i="10"/>
  <c r="C12" i="10"/>
  <c r="C8" i="10"/>
  <c r="H12" i="12" l="1"/>
  <c r="I12" i="12"/>
  <c r="F39" i="12"/>
  <c r="F40" i="12" s="1"/>
  <c r="F41" i="12" s="1"/>
  <c r="F42" i="12" s="1"/>
  <c r="F43" i="12" s="1"/>
  <c r="F44" i="12" s="1"/>
  <c r="F45" i="12" s="1"/>
  <c r="F46" i="12" s="1"/>
  <c r="H18" i="12"/>
  <c r="J18" i="12" s="1"/>
  <c r="H37" i="12"/>
  <c r="J37" i="12" s="1"/>
  <c r="I29" i="12"/>
  <c r="H22" i="12"/>
  <c r="J22" i="12" s="1"/>
  <c r="H13" i="12"/>
  <c r="J13" i="12" s="1"/>
  <c r="I13" i="12"/>
  <c r="H33" i="12"/>
  <c r="J33" i="12" s="1"/>
  <c r="H24" i="12"/>
  <c r="J24" i="12" s="1"/>
  <c r="I26" i="12"/>
  <c r="H19" i="12"/>
  <c r="J19" i="12" s="1"/>
  <c r="I19" i="12"/>
  <c r="H35" i="12"/>
  <c r="J35" i="12" s="1"/>
  <c r="I35" i="12"/>
  <c r="H31" i="12"/>
  <c r="J31" i="12" s="1"/>
  <c r="I31" i="12"/>
  <c r="I28" i="12"/>
  <c r="H28" i="12"/>
  <c r="J28" i="12" s="1"/>
  <c r="G40" i="12"/>
  <c r="H15" i="12"/>
  <c r="J15" i="12" s="1"/>
  <c r="I15" i="12"/>
  <c r="H44" i="12"/>
  <c r="J44" i="12" s="1"/>
  <c r="I44" i="12"/>
  <c r="I30" i="12"/>
  <c r="H30" i="12"/>
  <c r="J30" i="12" s="1"/>
  <c r="H43" i="12"/>
  <c r="J43" i="12" s="1"/>
  <c r="I43" i="12"/>
  <c r="I17" i="12"/>
  <c r="H17" i="12"/>
  <c r="J17" i="12" s="1"/>
  <c r="I36" i="12"/>
  <c r="H36" i="12"/>
  <c r="J36" i="12" s="1"/>
  <c r="I20" i="12"/>
  <c r="H20" i="12"/>
  <c r="J20" i="12" s="1"/>
  <c r="H23" i="12"/>
  <c r="J23" i="12" s="1"/>
  <c r="I23" i="12"/>
  <c r="G41" i="12"/>
  <c r="I38" i="12"/>
  <c r="H38" i="12"/>
  <c r="J38" i="12" s="1"/>
  <c r="H27" i="12"/>
  <c r="J27" i="12" s="1"/>
  <c r="I27" i="12"/>
  <c r="I21" i="12"/>
  <c r="H21" i="12"/>
  <c r="J21" i="12" s="1"/>
  <c r="H45" i="12"/>
  <c r="J45" i="12" s="1"/>
  <c r="I45" i="12"/>
  <c r="J12" i="12"/>
  <c r="I14" i="12"/>
  <c r="H14" i="12"/>
  <c r="J14" i="12" s="1"/>
  <c r="I32" i="12"/>
  <c r="H32" i="12"/>
  <c r="J32" i="12" s="1"/>
  <c r="G42" i="12"/>
  <c r="I25" i="12"/>
  <c r="H25" i="12"/>
  <c r="J25" i="12" s="1"/>
  <c r="G39" i="12"/>
  <c r="I16" i="12"/>
  <c r="H16" i="12"/>
  <c r="J16" i="12" s="1"/>
  <c r="I34" i="12"/>
  <c r="H34" i="12"/>
  <c r="J34" i="12" s="1"/>
  <c r="C13" i="10"/>
  <c r="D6" i="7"/>
  <c r="D7" i="7"/>
  <c r="E7" i="7" s="1"/>
  <c r="D8" i="7"/>
  <c r="D5" i="7"/>
  <c r="E5" i="7" s="1"/>
  <c r="T5" i="9"/>
  <c r="T6" i="9"/>
  <c r="T7" i="9"/>
  <c r="T4" i="9"/>
  <c r="Q5" i="9"/>
  <c r="Q6" i="9"/>
  <c r="Q7" i="9"/>
  <c r="B10" i="9"/>
  <c r="C10" i="9"/>
  <c r="D10" i="9"/>
  <c r="E10" i="9"/>
  <c r="F10" i="9"/>
  <c r="G10" i="9"/>
  <c r="H10" i="9"/>
  <c r="I10" i="9"/>
  <c r="J10" i="9"/>
  <c r="K10" i="9"/>
  <c r="L10" i="9"/>
  <c r="M10" i="9"/>
  <c r="B11" i="9"/>
  <c r="C11" i="9"/>
  <c r="D11" i="9"/>
  <c r="E11" i="9"/>
  <c r="F11" i="9"/>
  <c r="G11" i="9"/>
  <c r="H11" i="9"/>
  <c r="I11" i="9"/>
  <c r="J11" i="9"/>
  <c r="K11" i="9"/>
  <c r="L11" i="9"/>
  <c r="M11" i="9"/>
  <c r="B12" i="9"/>
  <c r="C12" i="9"/>
  <c r="D12" i="9"/>
  <c r="E12" i="9"/>
  <c r="F12" i="9"/>
  <c r="G12" i="9"/>
  <c r="H12" i="9"/>
  <c r="I12" i="9"/>
  <c r="J12" i="9"/>
  <c r="K12" i="9"/>
  <c r="L12" i="9"/>
  <c r="M12" i="9"/>
  <c r="C9" i="9"/>
  <c r="D9" i="9"/>
  <c r="E9" i="9"/>
  <c r="F9" i="9"/>
  <c r="G9" i="9"/>
  <c r="H9" i="9"/>
  <c r="I9" i="9"/>
  <c r="J9" i="9"/>
  <c r="K9" i="9"/>
  <c r="L9" i="9"/>
  <c r="M9" i="9"/>
  <c r="B9" i="9"/>
  <c r="Q4" i="9"/>
  <c r="P5" i="9"/>
  <c r="P6" i="9"/>
  <c r="P7" i="9"/>
  <c r="P4" i="9"/>
  <c r="C7" i="9"/>
  <c r="D7" i="9"/>
  <c r="E7" i="9"/>
  <c r="F7" i="9"/>
  <c r="G7" i="9"/>
  <c r="H7" i="9"/>
  <c r="I7" i="9"/>
  <c r="J7" i="9"/>
  <c r="K7" i="9"/>
  <c r="L7" i="9"/>
  <c r="M7" i="9"/>
  <c r="C6" i="9"/>
  <c r="D6" i="9"/>
  <c r="E6" i="9"/>
  <c r="F6" i="9"/>
  <c r="G6" i="9"/>
  <c r="H6" i="9"/>
  <c r="I6" i="9"/>
  <c r="J6" i="9"/>
  <c r="K6" i="9"/>
  <c r="L6" i="9"/>
  <c r="M6" i="9"/>
  <c r="C5" i="9"/>
  <c r="D5" i="9"/>
  <c r="E5" i="9"/>
  <c r="F5" i="9"/>
  <c r="G5" i="9"/>
  <c r="H5" i="9"/>
  <c r="I5" i="9"/>
  <c r="J5" i="9"/>
  <c r="K5" i="9"/>
  <c r="L5" i="9"/>
  <c r="M5" i="9"/>
  <c r="B5" i="9"/>
  <c r="C4" i="9"/>
  <c r="B7" i="9"/>
  <c r="B6" i="9"/>
  <c r="D4" i="9"/>
  <c r="E4" i="9"/>
  <c r="F4" i="9"/>
  <c r="G4" i="9"/>
  <c r="H4" i="9"/>
  <c r="I4" i="9"/>
  <c r="J4" i="9"/>
  <c r="K4" i="9"/>
  <c r="L4" i="9"/>
  <c r="M4" i="9"/>
  <c r="B4" i="9"/>
  <c r="E6" i="7"/>
  <c r="E8" i="7"/>
  <c r="H42" i="12" l="1"/>
  <c r="J42" i="12" s="1"/>
  <c r="I42" i="12"/>
  <c r="I39" i="12"/>
  <c r="H39" i="12"/>
  <c r="J39" i="12" s="1"/>
  <c r="H41" i="12"/>
  <c r="J41" i="12" s="1"/>
  <c r="I41" i="12"/>
  <c r="I40" i="12"/>
  <c r="H40" i="12"/>
  <c r="J40" i="12" s="1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G3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43" i="2"/>
  <c r="D44" i="2" s="1"/>
  <c r="C39" i="2"/>
  <c r="D40" i="2" s="1"/>
  <c r="C38" i="2"/>
  <c r="D39" i="2" s="1"/>
  <c r="C35" i="2"/>
  <c r="C34" i="2"/>
  <c r="C31" i="2"/>
  <c r="C30" i="2"/>
  <c r="C27" i="2"/>
  <c r="C23" i="2"/>
  <c r="C22" i="2"/>
  <c r="C19" i="2"/>
  <c r="C18" i="2"/>
  <c r="C15" i="2"/>
  <c r="C14" i="2"/>
  <c r="C11" i="2"/>
  <c r="C10" i="2"/>
  <c r="C12" i="2"/>
  <c r="C13" i="2"/>
  <c r="C16" i="2"/>
  <c r="C17" i="2"/>
  <c r="C20" i="2"/>
  <c r="C21" i="2"/>
  <c r="C24" i="2"/>
  <c r="C25" i="2"/>
  <c r="C26" i="2"/>
  <c r="C28" i="2"/>
  <c r="C29" i="2"/>
  <c r="C32" i="2"/>
  <c r="C33" i="2"/>
  <c r="C36" i="2"/>
  <c r="C37" i="2"/>
  <c r="C40" i="2"/>
  <c r="D41" i="2" s="1"/>
  <c r="C41" i="2"/>
  <c r="D42" i="2" s="1"/>
  <c r="C42" i="2"/>
  <c r="D43" i="2" s="1"/>
  <c r="C44" i="2"/>
  <c r="D45" i="2" s="1"/>
  <c r="C45" i="2"/>
  <c r="D46" i="2" s="1"/>
  <c r="B4" i="12" l="1"/>
  <c r="B2" i="12"/>
  <c r="B1" i="11" s="1"/>
  <c r="B3" i="12"/>
  <c r="D42" i="3"/>
  <c r="F42" i="3" s="1"/>
  <c r="D14" i="3"/>
  <c r="D18" i="3"/>
  <c r="F18" i="3" s="1"/>
  <c r="D11" i="4"/>
  <c r="D12" i="4" s="1"/>
  <c r="D13" i="4" s="1"/>
  <c r="E39" i="3"/>
  <c r="F14" i="3"/>
  <c r="D40" i="3"/>
  <c r="D44" i="3"/>
  <c r="F44" i="3" s="1"/>
  <c r="D13" i="3"/>
  <c r="F13" i="3" s="1"/>
  <c r="D17" i="3"/>
  <c r="F17" i="3" s="1"/>
  <c r="D41" i="3"/>
  <c r="D45" i="3"/>
  <c r="F45" i="3" s="1"/>
  <c r="H45" i="3" s="1"/>
  <c r="D43" i="3"/>
  <c r="D39" i="3"/>
  <c r="D21" i="3"/>
  <c r="F21" i="3" s="1"/>
  <c r="D25" i="3"/>
  <c r="F25" i="3" s="1"/>
  <c r="D29" i="3"/>
  <c r="F29" i="3" s="1"/>
  <c r="D33" i="3"/>
  <c r="F33" i="3" s="1"/>
  <c r="D37" i="3"/>
  <c r="F37" i="3" s="1"/>
  <c r="D15" i="3"/>
  <c r="F15" i="3" s="1"/>
  <c r="D19" i="3"/>
  <c r="F19" i="3" s="1"/>
  <c r="D23" i="3"/>
  <c r="F23" i="3" s="1"/>
  <c r="D27" i="3"/>
  <c r="F27" i="3" s="1"/>
  <c r="D31" i="3"/>
  <c r="F31" i="3" s="1"/>
  <c r="D35" i="3"/>
  <c r="F35" i="3" s="1"/>
  <c r="D12" i="3"/>
  <c r="F12" i="3" s="1"/>
  <c r="D16" i="3"/>
  <c r="F16" i="3" s="1"/>
  <c r="D20" i="3"/>
  <c r="F20" i="3" s="1"/>
  <c r="D24" i="3"/>
  <c r="F24" i="3" s="1"/>
  <c r="D28" i="3"/>
  <c r="F28" i="3" s="1"/>
  <c r="D32" i="3"/>
  <c r="F32" i="3" s="1"/>
  <c r="D36" i="3"/>
  <c r="F36" i="3" s="1"/>
  <c r="D46" i="3"/>
  <c r="D38" i="3"/>
  <c r="F38" i="3" s="1"/>
  <c r="D34" i="3"/>
  <c r="F34" i="3" s="1"/>
  <c r="D30" i="3"/>
  <c r="F30" i="3" s="1"/>
  <c r="D26" i="3"/>
  <c r="F26" i="3" s="1"/>
  <c r="D22" i="3"/>
  <c r="F22" i="3" s="1"/>
  <c r="E43" i="3" l="1"/>
  <c r="D14" i="4"/>
  <c r="F13" i="4"/>
  <c r="H13" i="4" s="1"/>
  <c r="F12" i="4"/>
  <c r="E41" i="3"/>
  <c r="F41" i="3"/>
  <c r="G41" i="3" s="1"/>
  <c r="I41" i="3" s="1"/>
  <c r="E40" i="3"/>
  <c r="E45" i="3"/>
  <c r="E42" i="3"/>
  <c r="F40" i="3"/>
  <c r="H40" i="3" s="1"/>
  <c r="F39" i="3"/>
  <c r="G39" i="3" s="1"/>
  <c r="I39" i="3" s="1"/>
  <c r="F43" i="3"/>
  <c r="G43" i="3" s="1"/>
  <c r="I43" i="3" s="1"/>
  <c r="E44" i="3"/>
  <c r="G38" i="3"/>
  <c r="I38" i="3" s="1"/>
  <c r="H38" i="3"/>
  <c r="H17" i="3"/>
  <c r="G17" i="3"/>
  <c r="I17" i="3" s="1"/>
  <c r="G23" i="3"/>
  <c r="I23" i="3" s="1"/>
  <c r="H23" i="3"/>
  <c r="H36" i="3"/>
  <c r="G36" i="3"/>
  <c r="I36" i="3" s="1"/>
  <c r="H28" i="3"/>
  <c r="G28" i="3"/>
  <c r="I28" i="3" s="1"/>
  <c r="G19" i="3"/>
  <c r="I19" i="3" s="1"/>
  <c r="H19" i="3"/>
  <c r="H24" i="3"/>
  <c r="G24" i="3"/>
  <c r="I24" i="3" s="1"/>
  <c r="H12" i="3"/>
  <c r="G12" i="3"/>
  <c r="G14" i="3"/>
  <c r="I14" i="3" s="1"/>
  <c r="H14" i="3"/>
  <c r="G33" i="3"/>
  <c r="I33" i="3" s="1"/>
  <c r="H33" i="3"/>
  <c r="G45" i="3"/>
  <c r="I45" i="3" s="1"/>
  <c r="G18" i="3"/>
  <c r="I18" i="3" s="1"/>
  <c r="H18" i="3"/>
  <c r="G34" i="3"/>
  <c r="I34" i="3" s="1"/>
  <c r="H34" i="3"/>
  <c r="G26" i="3"/>
  <c r="I26" i="3" s="1"/>
  <c r="H26" i="3"/>
  <c r="H20" i="3"/>
  <c r="G20" i="3"/>
  <c r="I20" i="3" s="1"/>
  <c r="H25" i="3"/>
  <c r="G25" i="3"/>
  <c r="I25" i="3" s="1"/>
  <c r="H13" i="3"/>
  <c r="G13" i="3"/>
  <c r="I13" i="3" s="1"/>
  <c r="G15" i="3"/>
  <c r="I15" i="3" s="1"/>
  <c r="H15" i="3"/>
  <c r="H29" i="3"/>
  <c r="G29" i="3"/>
  <c r="I29" i="3" s="1"/>
  <c r="G35" i="3"/>
  <c r="I35" i="3" s="1"/>
  <c r="H35" i="3"/>
  <c r="G30" i="3"/>
  <c r="I30" i="3" s="1"/>
  <c r="H30" i="3"/>
  <c r="H32" i="3"/>
  <c r="G32" i="3"/>
  <c r="I32" i="3" s="1"/>
  <c r="G42" i="3"/>
  <c r="I42" i="3" s="1"/>
  <c r="H42" i="3"/>
  <c r="G27" i="3"/>
  <c r="I27" i="3" s="1"/>
  <c r="H27" i="3"/>
  <c r="G21" i="3"/>
  <c r="I21" i="3" s="1"/>
  <c r="H21" i="3"/>
  <c r="H16" i="3"/>
  <c r="G16" i="3"/>
  <c r="I16" i="3" s="1"/>
  <c r="G22" i="3"/>
  <c r="I22" i="3" s="1"/>
  <c r="H22" i="3"/>
  <c r="G31" i="3"/>
  <c r="I31" i="3" s="1"/>
  <c r="H31" i="3"/>
  <c r="H44" i="3"/>
  <c r="G44" i="3"/>
  <c r="I44" i="3" s="1"/>
  <c r="G37" i="3"/>
  <c r="I37" i="3" s="1"/>
  <c r="H37" i="3"/>
  <c r="H41" i="3" l="1"/>
  <c r="G13" i="4"/>
  <c r="I13" i="4" s="1"/>
  <c r="G12" i="4"/>
  <c r="I12" i="4" s="1"/>
  <c r="H12" i="4"/>
  <c r="D15" i="4"/>
  <c r="F14" i="4"/>
  <c r="H39" i="3"/>
  <c r="G40" i="3"/>
  <c r="I40" i="3" s="1"/>
  <c r="B4" i="3" s="1"/>
  <c r="I12" i="3"/>
  <c r="H43" i="3"/>
  <c r="G14" i="4" l="1"/>
  <c r="H14" i="4"/>
  <c r="D16" i="4"/>
  <c r="F15" i="4"/>
  <c r="B3" i="3"/>
  <c r="B2" i="3"/>
  <c r="E39" i="2"/>
  <c r="D35" i="2"/>
  <c r="F35" i="2" s="1"/>
  <c r="H35" i="2" s="1"/>
  <c r="D36" i="2"/>
  <c r="F36" i="2" s="1"/>
  <c r="H36" i="2" s="1"/>
  <c r="D37" i="2"/>
  <c r="F37" i="2" s="1"/>
  <c r="H37" i="2" s="1"/>
  <c r="D38" i="2"/>
  <c r="F38" i="2" s="1"/>
  <c r="H38" i="2" s="1"/>
  <c r="D34" i="2"/>
  <c r="F34" i="2" s="1"/>
  <c r="D33" i="2"/>
  <c r="F33" i="2" s="1"/>
  <c r="D32" i="2"/>
  <c r="F32" i="2" s="1"/>
  <c r="D31" i="2"/>
  <c r="F31" i="2" s="1"/>
  <c r="D30" i="2"/>
  <c r="F30" i="2" s="1"/>
  <c r="H30" i="2" s="1"/>
  <c r="D29" i="2"/>
  <c r="F29" i="2" s="1"/>
  <c r="H29" i="2" s="1"/>
  <c r="D28" i="2"/>
  <c r="F28" i="2" s="1"/>
  <c r="D27" i="2"/>
  <c r="F27" i="2" s="1"/>
  <c r="H27" i="2" s="1"/>
  <c r="D26" i="2"/>
  <c r="F26" i="2" s="1"/>
  <c r="H26" i="2" s="1"/>
  <c r="D25" i="2"/>
  <c r="F25" i="2" s="1"/>
  <c r="D24" i="2"/>
  <c r="F24" i="2" s="1"/>
  <c r="D23" i="2"/>
  <c r="F23" i="2" s="1"/>
  <c r="D22" i="2"/>
  <c r="F22" i="2" s="1"/>
  <c r="H22" i="2" s="1"/>
  <c r="D21" i="2"/>
  <c r="F21" i="2" s="1"/>
  <c r="D20" i="2"/>
  <c r="F20" i="2" s="1"/>
  <c r="D19" i="2"/>
  <c r="F19" i="2" s="1"/>
  <c r="D18" i="2"/>
  <c r="F18" i="2" s="1"/>
  <c r="H18" i="2" s="1"/>
  <c r="D17" i="2"/>
  <c r="F17" i="2" s="1"/>
  <c r="D16" i="2"/>
  <c r="F16" i="2" s="1"/>
  <c r="G16" i="2" s="1"/>
  <c r="I16" i="2" s="1"/>
  <c r="D15" i="2"/>
  <c r="F15" i="2" s="1"/>
  <c r="D14" i="2"/>
  <c r="F14" i="2" s="1"/>
  <c r="H14" i="2" s="1"/>
  <c r="D13" i="2"/>
  <c r="F13" i="2" s="1"/>
  <c r="D12" i="2"/>
  <c r="F12" i="2" s="1"/>
  <c r="D11" i="2"/>
  <c r="F11" i="2" s="1"/>
  <c r="H20" i="2" l="1"/>
  <c r="G20" i="2"/>
  <c r="F39" i="2"/>
  <c r="H39" i="2" s="1"/>
  <c r="E40" i="2"/>
  <c r="D17" i="4"/>
  <c r="F16" i="4"/>
  <c r="H15" i="4"/>
  <c r="G15" i="4"/>
  <c r="I15" i="4" s="1"/>
  <c r="I14" i="4"/>
  <c r="G24" i="2"/>
  <c r="I24" i="2" s="1"/>
  <c r="H24" i="2"/>
  <c r="H34" i="2"/>
  <c r="G34" i="2"/>
  <c r="I34" i="2" s="1"/>
  <c r="G37" i="2"/>
  <c r="I37" i="2" s="1"/>
  <c r="G36" i="2"/>
  <c r="I36" i="2" s="1"/>
  <c r="G35" i="2"/>
  <c r="I35" i="2" s="1"/>
  <c r="G38" i="2"/>
  <c r="I38" i="2" s="1"/>
  <c r="G12" i="2"/>
  <c r="I12" i="2" s="1"/>
  <c r="H12" i="2"/>
  <c r="H19" i="2"/>
  <c r="G19" i="2"/>
  <c r="I19" i="2" s="1"/>
  <c r="G25" i="2"/>
  <c r="I25" i="2" s="1"/>
  <c r="H25" i="2"/>
  <c r="H13" i="2"/>
  <c r="G13" i="2"/>
  <c r="I13" i="2" s="1"/>
  <c r="G31" i="2"/>
  <c r="I31" i="2" s="1"/>
  <c r="H31" i="2"/>
  <c r="G15" i="2"/>
  <c r="I15" i="2" s="1"/>
  <c r="H15" i="2"/>
  <c r="G33" i="2"/>
  <c r="I33" i="2" s="1"/>
  <c r="H33" i="2"/>
  <c r="H23" i="2"/>
  <c r="G23" i="2"/>
  <c r="I23" i="2" s="1"/>
  <c r="G28" i="2"/>
  <c r="I28" i="2" s="1"/>
  <c r="H28" i="2"/>
  <c r="I20" i="2"/>
  <c r="H17" i="2"/>
  <c r="G17" i="2"/>
  <c r="I17" i="2" s="1"/>
  <c r="H21" i="2"/>
  <c r="G21" i="2"/>
  <c r="I21" i="2" s="1"/>
  <c r="G32" i="2"/>
  <c r="I32" i="2" s="1"/>
  <c r="H32" i="2"/>
  <c r="H16" i="2"/>
  <c r="G27" i="2"/>
  <c r="I27" i="2" s="1"/>
  <c r="G29" i="2"/>
  <c r="I29" i="2" s="1"/>
  <c r="G11" i="2"/>
  <c r="H11" i="2"/>
  <c r="G14" i="2"/>
  <c r="I14" i="2" s="1"/>
  <c r="G18" i="2"/>
  <c r="I18" i="2" s="1"/>
  <c r="G22" i="2"/>
  <c r="I22" i="2" s="1"/>
  <c r="G26" i="2"/>
  <c r="I26" i="2" s="1"/>
  <c r="G30" i="2"/>
  <c r="I30" i="2" s="1"/>
  <c r="G39" i="2" l="1"/>
  <c r="I39" i="2" s="1"/>
  <c r="E41" i="2"/>
  <c r="F40" i="2"/>
  <c r="G16" i="4"/>
  <c r="I16" i="4" s="1"/>
  <c r="H16" i="4"/>
  <c r="D18" i="4"/>
  <c r="F17" i="4"/>
  <c r="I11" i="2"/>
  <c r="H40" i="2" l="1"/>
  <c r="G40" i="2"/>
  <c r="E42" i="2"/>
  <c r="F41" i="2"/>
  <c r="D19" i="4"/>
  <c r="F18" i="4"/>
  <c r="G17" i="4"/>
  <c r="I17" i="4" s="1"/>
  <c r="H17" i="4"/>
  <c r="G41" i="2" l="1"/>
  <c r="I41" i="2" s="1"/>
  <c r="H41" i="2"/>
  <c r="E43" i="2"/>
  <c r="F42" i="2"/>
  <c r="I40" i="2"/>
  <c r="G18" i="4"/>
  <c r="I18" i="4" s="1"/>
  <c r="H18" i="4"/>
  <c r="D20" i="4"/>
  <c r="F19" i="4"/>
  <c r="G42" i="2" l="1"/>
  <c r="H42" i="2"/>
  <c r="E44" i="2"/>
  <c r="F43" i="2"/>
  <c r="D21" i="4"/>
  <c r="F20" i="4"/>
  <c r="G19" i="4"/>
  <c r="H19" i="4"/>
  <c r="G43" i="2" l="1"/>
  <c r="I43" i="2" s="1"/>
  <c r="H43" i="2"/>
  <c r="E45" i="2"/>
  <c r="F45" i="2" s="1"/>
  <c r="F44" i="2"/>
  <c r="I42" i="2"/>
  <c r="I19" i="4"/>
  <c r="H20" i="4"/>
  <c r="G20" i="4"/>
  <c r="I20" i="4" s="1"/>
  <c r="D22" i="4"/>
  <c r="F21" i="4"/>
  <c r="H44" i="2" l="1"/>
  <c r="G44" i="2"/>
  <c r="I44" i="2" s="1"/>
  <c r="H45" i="2"/>
  <c r="G45" i="2"/>
  <c r="I45" i="2" s="1"/>
  <c r="G21" i="4"/>
  <c r="I21" i="4" s="1"/>
  <c r="H21" i="4"/>
  <c r="D23" i="4"/>
  <c r="F22" i="4"/>
  <c r="B3" i="2" l="1"/>
  <c r="B4" i="2"/>
  <c r="B2" i="2"/>
  <c r="H22" i="4"/>
  <c r="G22" i="4"/>
  <c r="I22" i="4" s="1"/>
  <c r="D24" i="4"/>
  <c r="F23" i="4"/>
  <c r="H23" i="4" l="1"/>
  <c r="G23" i="4"/>
  <c r="I23" i="4" s="1"/>
  <c r="D25" i="4"/>
  <c r="F24" i="4"/>
  <c r="D26" i="4" l="1"/>
  <c r="F25" i="4"/>
  <c r="G24" i="4"/>
  <c r="I24" i="4" s="1"/>
  <c r="H24" i="4"/>
  <c r="H25" i="4" l="1"/>
  <c r="G25" i="4"/>
  <c r="I25" i="4" s="1"/>
  <c r="D27" i="4"/>
  <c r="F26" i="4"/>
  <c r="D28" i="4" l="1"/>
  <c r="F27" i="4"/>
  <c r="G26" i="4"/>
  <c r="I26" i="4" s="1"/>
  <c r="H26" i="4"/>
  <c r="H27" i="4" l="1"/>
  <c r="G27" i="4"/>
  <c r="I27" i="4" s="1"/>
  <c r="D29" i="4"/>
  <c r="F28" i="4"/>
  <c r="H28" i="4" l="1"/>
  <c r="G28" i="4"/>
  <c r="I28" i="4" s="1"/>
  <c r="D30" i="4"/>
  <c r="F29" i="4"/>
  <c r="H29" i="4" l="1"/>
  <c r="G29" i="4"/>
  <c r="I29" i="4" s="1"/>
  <c r="D31" i="4"/>
  <c r="F30" i="4"/>
  <c r="H30" i="4" l="1"/>
  <c r="G30" i="4"/>
  <c r="I30" i="4" s="1"/>
  <c r="D32" i="4"/>
  <c r="F31" i="4"/>
  <c r="D33" i="4" l="1"/>
  <c r="F32" i="4"/>
  <c r="G31" i="4"/>
  <c r="I31" i="4" s="1"/>
  <c r="H31" i="4"/>
  <c r="G32" i="4" l="1"/>
  <c r="I32" i="4" s="1"/>
  <c r="H32" i="4"/>
  <c r="D34" i="4"/>
  <c r="F33" i="4"/>
  <c r="G33" i="4" l="1"/>
  <c r="I33" i="4" s="1"/>
  <c r="H33" i="4"/>
  <c r="D35" i="4"/>
  <c r="F34" i="4"/>
  <c r="G34" i="4" l="1"/>
  <c r="I34" i="4" s="1"/>
  <c r="H34" i="4"/>
  <c r="D36" i="4"/>
  <c r="F35" i="4"/>
  <c r="G35" i="4" l="1"/>
  <c r="I35" i="4" s="1"/>
  <c r="H35" i="4"/>
  <c r="D37" i="4"/>
  <c r="F36" i="4"/>
  <c r="D38" i="4" l="1"/>
  <c r="F37" i="4"/>
  <c r="H36" i="4"/>
  <c r="G36" i="4"/>
  <c r="I36" i="4" s="1"/>
  <c r="H37" i="4" l="1"/>
  <c r="G37" i="4"/>
  <c r="I37" i="4" s="1"/>
  <c r="D39" i="4"/>
  <c r="F39" i="4" s="1"/>
  <c r="F38" i="4"/>
  <c r="H38" i="4" l="1"/>
  <c r="G38" i="4"/>
  <c r="I38" i="4" s="1"/>
  <c r="D40" i="4"/>
  <c r="D41" i="4" s="1"/>
  <c r="F41" i="4" s="1"/>
  <c r="H39" i="4"/>
  <c r="G39" i="4"/>
  <c r="I39" i="4" s="1"/>
  <c r="G41" i="4" l="1"/>
  <c r="I41" i="4" s="1"/>
  <c r="H41" i="4"/>
  <c r="D42" i="4"/>
  <c r="F42" i="4" s="1"/>
  <c r="F40" i="4"/>
  <c r="G40" i="4" l="1"/>
  <c r="I40" i="4" s="1"/>
  <c r="H40" i="4"/>
  <c r="H42" i="4"/>
  <c r="G42" i="4"/>
  <c r="I42" i="4" s="1"/>
  <c r="D43" i="4"/>
  <c r="F43" i="4" s="1"/>
  <c r="H43" i="4" l="1"/>
  <c r="G43" i="4"/>
  <c r="I43" i="4" s="1"/>
  <c r="D44" i="4"/>
  <c r="F44" i="4" s="1"/>
  <c r="G44" i="4" l="1"/>
  <c r="I44" i="4" s="1"/>
  <c r="H44" i="4"/>
  <c r="D45" i="4"/>
  <c r="F45" i="4" s="1"/>
  <c r="G45" i="4" l="1"/>
  <c r="I45" i="4" s="1"/>
  <c r="H45" i="4"/>
  <c r="D46" i="4"/>
  <c r="B3" i="4" l="1"/>
  <c r="B4" i="4" l="1"/>
  <c r="B2" i="4"/>
  <c r="H3" i="12" s="1"/>
  <c r="L2" i="4" l="1"/>
  <c r="K3" i="3"/>
  <c r="B2" i="11"/>
  <c r="H4" i="12" s="1"/>
  <c r="K3" i="2"/>
  <c r="K4" i="2" l="1"/>
  <c r="L3" i="4"/>
  <c r="K4" i="3"/>
</calcChain>
</file>

<file path=xl/sharedStrings.xml><?xml version="1.0" encoding="utf-8"?>
<sst xmlns="http://schemas.openxmlformats.org/spreadsheetml/2006/main" count="164" uniqueCount="102">
  <si>
    <t>Year</t>
  </si>
  <si>
    <t>Months</t>
  </si>
  <si>
    <t>Product A</t>
  </si>
  <si>
    <t>Product B</t>
  </si>
  <si>
    <t>Product C</t>
  </si>
  <si>
    <t>Product D</t>
  </si>
  <si>
    <t>Naïve Forecast</t>
  </si>
  <si>
    <t>MAD</t>
  </si>
  <si>
    <t>MSE</t>
  </si>
  <si>
    <t>MAPE</t>
  </si>
  <si>
    <t>Product</t>
  </si>
  <si>
    <t>Month</t>
  </si>
  <si>
    <t>Error</t>
  </si>
  <si>
    <t>Absolute Error</t>
  </si>
  <si>
    <t>Error Squared</t>
  </si>
  <si>
    <t>Absolute % Error</t>
  </si>
  <si>
    <t>Test set Forecast</t>
  </si>
  <si>
    <t>Actual_Demand</t>
  </si>
  <si>
    <t>WMA-2</t>
  </si>
  <si>
    <t>Weighted Moving Average</t>
  </si>
  <si>
    <t>PERIOD</t>
  </si>
  <si>
    <t>Sum</t>
  </si>
  <si>
    <t>WEIGHTS</t>
  </si>
  <si>
    <t>Demand Forecast (Training Data)</t>
  </si>
  <si>
    <t>Exponential Smoothing Forecast</t>
  </si>
  <si>
    <t>α</t>
  </si>
  <si>
    <t>Initial Forecast</t>
  </si>
  <si>
    <t>Re-Order Point - Inventory Management</t>
  </si>
  <si>
    <t>Re-Order Level = Average Daily Requirement x A.Lead Time + Safety Stock</t>
  </si>
  <si>
    <t>Product Name</t>
  </si>
  <si>
    <t>Stock In Hand</t>
  </si>
  <si>
    <t>ROL</t>
  </si>
  <si>
    <t>Inventory Action</t>
  </si>
  <si>
    <t>Average Lead Time</t>
  </si>
  <si>
    <t>Max Lead time</t>
  </si>
  <si>
    <t>Average DD</t>
  </si>
  <si>
    <t>Max DD</t>
  </si>
  <si>
    <t>Avg LT</t>
  </si>
  <si>
    <t>Max LT</t>
  </si>
  <si>
    <t>DD per Month (A)</t>
  </si>
  <si>
    <t>DD per Month (B)</t>
  </si>
  <si>
    <t>DD per Month (C)</t>
  </si>
  <si>
    <t>DD per Month (D)</t>
  </si>
  <si>
    <t>Safety Stock</t>
  </si>
  <si>
    <t>Safety Stock Calculations</t>
  </si>
  <si>
    <t>Demand</t>
  </si>
  <si>
    <t>Ordering Cost</t>
  </si>
  <si>
    <t>Holding Cost</t>
  </si>
  <si>
    <t>Unit Price</t>
  </si>
  <si>
    <t>D</t>
  </si>
  <si>
    <t>Co</t>
  </si>
  <si>
    <t>P</t>
  </si>
  <si>
    <t>Ch</t>
  </si>
  <si>
    <t>per year</t>
  </si>
  <si>
    <t>per order</t>
  </si>
  <si>
    <t>of unit price per item per year</t>
  </si>
  <si>
    <t>per unit</t>
  </si>
  <si>
    <t>EOQ</t>
  </si>
  <si>
    <t>Total Ordering Costs</t>
  </si>
  <si>
    <t>To</t>
  </si>
  <si>
    <t>Total Holding Cost</t>
  </si>
  <si>
    <t>Total Order Size</t>
  </si>
  <si>
    <t>Q</t>
  </si>
  <si>
    <t>T</t>
  </si>
  <si>
    <t>Total Cost</t>
  </si>
  <si>
    <t>Th</t>
  </si>
  <si>
    <t>Economic Order Quantity</t>
  </si>
  <si>
    <t>Ss</t>
  </si>
  <si>
    <t>Units</t>
  </si>
  <si>
    <t>The Best Model based on the minimum MAD</t>
  </si>
  <si>
    <t>Least Error Figure</t>
  </si>
  <si>
    <t>Dyt</t>
  </si>
  <si>
    <t>x</t>
  </si>
  <si>
    <t>y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</si>
  <si>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</si>
  <si>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</si>
  <si>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</si>
  <si>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</si>
  <si>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</si>
  <si>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</si>
  <si>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</si>
  <si>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</si>
  <si>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</si>
  <si>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</si>
  <si>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</si>
  <si>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</si>
  <si>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</si>
  <si>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</si>
  <si>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</si>
  <si>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</si>
  <si>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</si>
  <si>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</si>
  <si>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</si>
  <si>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</si>
  <si>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</si>
  <si>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</si>
  <si>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</si>
  <si>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</si>
  <si>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Constant</t>
  </si>
  <si>
    <t>ARIMA</t>
  </si>
  <si>
    <t>ARIMA Formula</t>
  </si>
  <si>
    <t>C + (Yt-1)+α((Yt-1)-(Yt-2))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</si>
</sst>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111827"/>
      <name val="Courier New"/>
      <family val="3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125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2" fillId="0" borderId="1" xfId="0" applyFont="1" applyBorder="1"/>
    <xf numFmtId="0" fontId="4" fillId="0" borderId="1" xfId="0" applyFont="1" applyBorder="1"/>
    <xf numFmtId="0" fontId="4" fillId="0" borderId="9" xfId="0" applyFont="1" applyBorder="1"/>
    <xf numFmtId="0" fontId="0" fillId="3" borderId="6" xfId="0" applyFill="1" applyBorder="1"/>
    <xf numFmtId="0" fontId="0" fillId="3" borderId="9" xfId="0" applyFill="1" applyBorder="1"/>
    <xf numFmtId="0" fontId="4" fillId="3" borderId="9" xfId="0" applyFont="1" applyFill="1" applyBorder="1"/>
    <xf numFmtId="0" fontId="0" fillId="3" borderId="7" xfId="0" applyFill="1" applyBorder="1"/>
    <xf numFmtId="0" fontId="4" fillId="2" borderId="1" xfId="0" applyFont="1" applyFill="1" applyBorder="1"/>
    <xf numFmtId="0" fontId="3" fillId="4" borderId="0" xfId="0" applyFont="1" applyFill="1" applyAlignment="1"/>
    <xf numFmtId="0" fontId="0" fillId="5" borderId="2" xfId="0" applyFill="1" applyBorder="1"/>
    <xf numFmtId="0" fontId="0" fillId="5" borderId="3" xfId="0" applyFill="1" applyBorder="1"/>
    <xf numFmtId="0" fontId="0" fillId="6" borderId="6" xfId="0" applyFill="1" applyBorder="1"/>
    <xf numFmtId="0" fontId="0" fillId="0" borderId="11" xfId="0" applyBorder="1"/>
    <xf numFmtId="0" fontId="0" fillId="0" borderId="12" xfId="0" applyBorder="1"/>
    <xf numFmtId="9" fontId="0" fillId="0" borderId="5" xfId="1" applyFont="1" applyBorder="1"/>
    <xf numFmtId="9" fontId="2" fillId="0" borderId="5" xfId="1" applyFont="1" applyBorder="1"/>
    <xf numFmtId="0" fontId="0" fillId="7" borderId="2" xfId="0" applyFill="1" applyBorder="1"/>
    <xf numFmtId="0" fontId="0" fillId="7" borderId="8" xfId="0" applyFill="1" applyBorder="1"/>
    <xf numFmtId="0" fontId="0" fillId="7" borderId="3" xfId="0" applyFill="1" applyBorder="1"/>
    <xf numFmtId="0" fontId="5" fillId="3" borderId="9" xfId="0" applyFont="1" applyFill="1" applyBorder="1"/>
    <xf numFmtId="0" fontId="0" fillId="0" borderId="14" xfId="0" applyBorder="1"/>
    <xf numFmtId="0" fontId="4" fillId="2" borderId="14" xfId="0" applyFont="1" applyFill="1" applyBorder="1"/>
    <xf numFmtId="0" fontId="2" fillId="0" borderId="14" xfId="0" applyFont="1" applyBorder="1"/>
    <xf numFmtId="9" fontId="2" fillId="0" borderId="15" xfId="1" applyFont="1" applyBorder="1"/>
    <xf numFmtId="9" fontId="0" fillId="0" borderId="7" xfId="1" applyFont="1" applyBorder="1"/>
    <xf numFmtId="0" fontId="6" fillId="0" borderId="11" xfId="0" applyFont="1" applyBorder="1"/>
    <xf numFmtId="0" fontId="6" fillId="0" borderId="12" xfId="0" applyFont="1" applyBorder="1"/>
    <xf numFmtId="0" fontId="0" fillId="9" borderId="2" xfId="0" applyFill="1" applyBorder="1"/>
    <xf numFmtId="0" fontId="0" fillId="9" borderId="8" xfId="0" applyFill="1" applyBorder="1"/>
    <xf numFmtId="0" fontId="0" fillId="9" borderId="3" xfId="0" applyFill="1" applyBorder="1"/>
    <xf numFmtId="0" fontId="0" fillId="9" borderId="6" xfId="0" applyFill="1" applyBorder="1"/>
    <xf numFmtId="0" fontId="0" fillId="9" borderId="9" xfId="0" applyFill="1" applyBorder="1"/>
    <xf numFmtId="0" fontId="0" fillId="9" borderId="7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6" borderId="7" xfId="0" applyNumberFormat="1" applyFill="1" applyBorder="1"/>
    <xf numFmtId="0" fontId="0" fillId="7" borderId="8" xfId="0" applyFill="1" applyBorder="1" applyAlignment="1">
      <alignment wrapText="1"/>
    </xf>
    <xf numFmtId="17" fontId="0" fillId="0" borderId="1" xfId="0" applyNumberFormat="1" applyBorder="1"/>
    <xf numFmtId="17" fontId="0" fillId="11" borderId="9" xfId="0" applyNumberFormat="1" applyFill="1" applyBorder="1"/>
    <xf numFmtId="0" fontId="10" fillId="9" borderId="2" xfId="0" applyFont="1" applyFill="1" applyBorder="1"/>
    <xf numFmtId="2" fontId="0" fillId="0" borderId="1" xfId="0" applyNumberFormat="1" applyBorder="1"/>
    <xf numFmtId="2" fontId="2" fillId="0" borderId="1" xfId="0" applyNumberFormat="1" applyFont="1" applyBorder="1"/>
    <xf numFmtId="2" fontId="0" fillId="0" borderId="9" xfId="0" applyNumberFormat="1" applyBorder="1"/>
    <xf numFmtId="2" fontId="2" fillId="0" borderId="14" xfId="0" applyNumberFormat="1" applyFont="1" applyBorder="1"/>
    <xf numFmtId="17" fontId="0" fillId="0" borderId="14" xfId="0" applyNumberFormat="1" applyBorder="1"/>
    <xf numFmtId="2" fontId="0" fillId="0" borderId="14" xfId="0" applyNumberFormat="1" applyBorder="1"/>
    <xf numFmtId="17" fontId="0" fillId="0" borderId="9" xfId="0" applyNumberFormat="1" applyBorder="1"/>
    <xf numFmtId="2" fontId="0" fillId="5" borderId="3" xfId="0" applyNumberFormat="1" applyFill="1" applyBorder="1"/>
    <xf numFmtId="2" fontId="0" fillId="0" borderId="5" xfId="0" applyNumberFormat="1" applyBorder="1"/>
    <xf numFmtId="9" fontId="0" fillId="6" borderId="7" xfId="1" applyFont="1" applyFill="1" applyBorder="1"/>
    <xf numFmtId="17" fontId="0" fillId="0" borderId="0" xfId="0" applyNumberFormat="1" applyBorder="1"/>
    <xf numFmtId="0" fontId="9" fillId="0" borderId="0" xfId="0" applyFont="1"/>
    <xf numFmtId="17" fontId="9" fillId="0" borderId="17" xfId="0" applyNumberFormat="1" applyFont="1" applyFill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6" xfId="0" applyBorder="1"/>
    <xf numFmtId="0" fontId="0" fillId="0" borderId="7" xfId="0" applyBorder="1"/>
    <xf numFmtId="0" fontId="0" fillId="0" borderId="21" xfId="0" applyBorder="1"/>
    <xf numFmtId="0" fontId="0" fillId="0" borderId="15" xfId="0" applyBorder="1"/>
    <xf numFmtId="0" fontId="0" fillId="0" borderId="2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7" fontId="0" fillId="10" borderId="23" xfId="0" applyNumberFormat="1" applyFont="1" applyFill="1" applyBorder="1"/>
    <xf numFmtId="17" fontId="0" fillId="0" borderId="23" xfId="0" applyNumberFormat="1" applyFont="1" applyBorder="1"/>
    <xf numFmtId="17" fontId="0" fillId="0" borderId="24" xfId="0" applyNumberFormat="1" applyFont="1" applyBorder="1"/>
    <xf numFmtId="1" fontId="0" fillId="0" borderId="0" xfId="0" applyNumberFormat="1"/>
    <xf numFmtId="0" fontId="5" fillId="12" borderId="0" xfId="0" applyFont="1" applyFill="1"/>
    <xf numFmtId="0" fontId="11" fillId="0" borderId="0" xfId="0" applyFont="1"/>
    <xf numFmtId="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2" xfId="0" applyBorder="1" applyAlignment="1">
      <alignment horizontal="left"/>
    </xf>
    <xf numFmtId="0" fontId="0" fillId="0" borderId="6" xfId="0" applyBorder="1" applyAlignment="1">
      <alignment horizontal="left"/>
    </xf>
    <xf numFmtId="2" fontId="12" fillId="13" borderId="3" xfId="0" applyNumberFormat="1" applyFont="1" applyFill="1" applyBorder="1" applyAlignment="1">
      <alignment horizontal="left"/>
    </xf>
    <xf numFmtId="0" fontId="12" fillId="13" borderId="7" xfId="0" applyFont="1" applyFill="1" applyBorder="1" applyAlignment="1">
      <alignment horizontal="left"/>
    </xf>
    <xf numFmtId="2" fontId="12" fillId="13" borderId="7" xfId="0" applyNumberFormat="1" applyFont="1" applyFill="1" applyBorder="1" applyAlignment="1">
      <alignment horizontal="left"/>
    </xf>
    <xf numFmtId="0" fontId="0" fillId="9" borderId="2" xfId="0" applyFill="1" applyBorder="1" applyAlignment="1">
      <alignment horizontal="left"/>
    </xf>
    <xf numFmtId="0" fontId="0" fillId="0" borderId="13" xfId="0" applyBorder="1"/>
    <xf numFmtId="0" fontId="0" fillId="7" borderId="1" xfId="0" applyFill="1" applyBorder="1"/>
    <xf numFmtId="0" fontId="0" fillId="0" borderId="0" xfId="0" applyFill="1" applyBorder="1" applyAlignment="1"/>
    <xf numFmtId="0" fontId="0" fillId="0" borderId="28" xfId="0" applyFill="1" applyBorder="1" applyAlignment="1"/>
    <xf numFmtId="0" fontId="13" fillId="0" borderId="30" xfId="0" applyFont="1" applyFill="1" applyBorder="1" applyAlignment="1">
      <alignment horizontal="center"/>
    </xf>
    <xf numFmtId="0" fontId="13" fillId="0" borderId="30" xfId="0" applyFont="1" applyFill="1" applyBorder="1" applyAlignment="1">
      <alignment horizontal="centerContinuous"/>
    </xf>
    <xf numFmtId="0" fontId="0" fillId="0" borderId="0" xfId="0" applyFill="1" applyBorder="1" applyAlignment="1">
      <alignment horizontal="left"/>
    </xf>
    <xf numFmtId="0" fontId="10" fillId="9" borderId="6" xfId="0" applyFont="1" applyFill="1" applyBorder="1" applyAlignment="1">
      <alignment horizontal="left"/>
    </xf>
    <xf numFmtId="0" fontId="0" fillId="0" borderId="20" xfId="0" applyFill="1" applyBorder="1" applyAlignment="1"/>
    <xf numFmtId="0" fontId="0" fillId="0" borderId="29" xfId="0" applyFill="1" applyBorder="1" applyAlignment="1"/>
    <xf numFmtId="0" fontId="0" fillId="14" borderId="1" xfId="0" applyFill="1" applyBorder="1"/>
    <xf numFmtId="0" fontId="0" fillId="3" borderId="31" xfId="0" applyFill="1" applyBorder="1"/>
    <xf numFmtId="9" fontId="2" fillId="0" borderId="32" xfId="1" applyFont="1" applyBorder="1"/>
    <xf numFmtId="9" fontId="2" fillId="0" borderId="33" xfId="1" applyFont="1" applyBorder="1"/>
    <xf numFmtId="0" fontId="4" fillId="0" borderId="13" xfId="0" applyFont="1" applyBorder="1"/>
    <xf numFmtId="2" fontId="0" fillId="0" borderId="13" xfId="0" applyNumberFormat="1" applyBorder="1"/>
    <xf numFmtId="0" fontId="4" fillId="2" borderId="8" xfId="0" applyFont="1" applyFill="1" applyBorder="1"/>
    <xf numFmtId="0" fontId="0" fillId="0" borderId="8" xfId="0" applyBorder="1"/>
    <xf numFmtId="2" fontId="0" fillId="0" borderId="8" xfId="0" applyNumberFormat="1" applyBorder="1"/>
    <xf numFmtId="0" fontId="2" fillId="0" borderId="8" xfId="0" applyFont="1" applyBorder="1"/>
    <xf numFmtId="0" fontId="2" fillId="0" borderId="3" xfId="0" applyFont="1" applyBorder="1"/>
    <xf numFmtId="0" fontId="2" fillId="0" borderId="5" xfId="0" applyFont="1" applyBorder="1"/>
    <xf numFmtId="17" fontId="0" fillId="0" borderId="6" xfId="0" applyNumberFormat="1" applyBorder="1"/>
    <xf numFmtId="17" fontId="0" fillId="0" borderId="34" xfId="0" applyNumberFormat="1" applyBorder="1"/>
    <xf numFmtId="17" fontId="0" fillId="0" borderId="35" xfId="0" applyNumberFormat="1" applyBorder="1"/>
    <xf numFmtId="17" fontId="0" fillId="0" borderId="36" xfId="0" applyNumberFormat="1" applyBorder="1"/>
    <xf numFmtId="2" fontId="2" fillId="14" borderId="8" xfId="0" applyNumberFormat="1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13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5" fillId="12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</cellXfs>
  <cellStyles count="3">
    <cellStyle name="Normal" xfId="0" builtinId="0"/>
    <cellStyle name="Normal 2" xfId="2" xr:uid="{F9459372-E7B4-48E5-B981-C8022361B723}"/>
    <cellStyle name="Percent" xfId="1" builtinId="5"/>
  </cellStyles>
  <dxfs count="6"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Actuals vs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'Naive Forecasts'!$C$9</c:f>
              <c:strCache>
                <c:ptCount val="1"/>
                <c:pt idx="0">
                  <c:v>Actual_Demand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'Naive Forecasts'!$B$9:$B$46</c:f>
              <c:strCache>
                <c:ptCount val="38"/>
                <c:pt idx="0">
                  <c:v>Month</c:v>
                </c:pt>
                <c:pt idx="1">
                  <c:v>Jan-20</c:v>
                </c:pt>
                <c:pt idx="2">
                  <c:v>Feb-20</c:v>
                </c:pt>
                <c:pt idx="3">
                  <c:v>Mar-20</c:v>
                </c:pt>
                <c:pt idx="4">
                  <c:v>Apr-20</c:v>
                </c:pt>
                <c:pt idx="5">
                  <c:v>May-20</c:v>
                </c:pt>
                <c:pt idx="6">
                  <c:v>Jun-20</c:v>
                </c:pt>
                <c:pt idx="7">
                  <c:v>Jul-20</c:v>
                </c:pt>
                <c:pt idx="8">
                  <c:v>Aug-20</c:v>
                </c:pt>
                <c:pt idx="9">
                  <c:v>Sep-20</c:v>
                </c:pt>
                <c:pt idx="10">
                  <c:v>Oct-20</c:v>
                </c:pt>
                <c:pt idx="11">
                  <c:v>Nov-20</c:v>
                </c:pt>
                <c:pt idx="12">
                  <c:v>Dec-20</c:v>
                </c:pt>
                <c:pt idx="13">
                  <c:v>Jan-21</c:v>
                </c:pt>
                <c:pt idx="14">
                  <c:v>Feb-21</c:v>
                </c:pt>
                <c:pt idx="15">
                  <c:v>Mar-21</c:v>
                </c:pt>
                <c:pt idx="16">
                  <c:v>Apr-21</c:v>
                </c:pt>
                <c:pt idx="17">
                  <c:v>May-21</c:v>
                </c:pt>
                <c:pt idx="18">
                  <c:v>Jun-21</c:v>
                </c:pt>
                <c:pt idx="19">
                  <c:v>Jul-21</c:v>
                </c:pt>
                <c:pt idx="20">
                  <c:v>Aug-21</c:v>
                </c:pt>
                <c:pt idx="21">
                  <c:v>Sep-21</c:v>
                </c:pt>
                <c:pt idx="22">
                  <c:v>Oct-21</c:v>
                </c:pt>
                <c:pt idx="23">
                  <c:v>Nov-21</c:v>
                </c:pt>
                <c:pt idx="24">
                  <c:v>Dec-21</c:v>
                </c:pt>
                <c:pt idx="25">
                  <c:v>Jan-22</c:v>
                </c:pt>
                <c:pt idx="26">
                  <c:v>Feb-22</c:v>
                </c:pt>
                <c:pt idx="27">
                  <c:v>Mar-22</c:v>
                </c:pt>
                <c:pt idx="28">
                  <c:v>Apr-22</c:v>
                </c:pt>
                <c:pt idx="29">
                  <c:v>May-22</c:v>
                </c:pt>
                <c:pt idx="30">
                  <c:v>Jun-22</c:v>
                </c:pt>
                <c:pt idx="31">
                  <c:v>Jul-22</c:v>
                </c:pt>
                <c:pt idx="32">
                  <c:v>Aug-22</c:v>
                </c:pt>
                <c:pt idx="33">
                  <c:v>Sep-22</c:v>
                </c:pt>
                <c:pt idx="34">
                  <c:v>Oct-22</c:v>
                </c:pt>
                <c:pt idx="35">
                  <c:v>Nov-22</c:v>
                </c:pt>
                <c:pt idx="36">
                  <c:v>Dec-22</c:v>
                </c:pt>
                <c:pt idx="37">
                  <c:v>Jan-23</c:v>
                </c:pt>
              </c:strCache>
            </c:strRef>
          </c:cat>
          <c:val>
            <c:numRef>
              <c:f>'Naive Forecasts'!$C$10:$C$45</c:f>
              <c:numCache>
                <c:formatCode>General</c:formatCode>
                <c:ptCount val="36"/>
                <c:pt idx="0">
                  <c:v>5</c:v>
                </c:pt>
                <c:pt idx="1">
                  <c:v>51</c:v>
                </c:pt>
                <c:pt idx="2">
                  <c:v>37</c:v>
                </c:pt>
                <c:pt idx="3">
                  <c:v>14</c:v>
                </c:pt>
                <c:pt idx="4">
                  <c:v>54</c:v>
                </c:pt>
                <c:pt idx="5">
                  <c:v>37</c:v>
                </c:pt>
                <c:pt idx="6">
                  <c:v>26</c:v>
                </c:pt>
                <c:pt idx="7">
                  <c:v>59</c:v>
                </c:pt>
                <c:pt idx="8">
                  <c:v>59</c:v>
                </c:pt>
                <c:pt idx="9">
                  <c:v>51</c:v>
                </c:pt>
                <c:pt idx="10">
                  <c:v>56</c:v>
                </c:pt>
                <c:pt idx="11">
                  <c:v>21</c:v>
                </c:pt>
                <c:pt idx="12">
                  <c:v>51</c:v>
                </c:pt>
                <c:pt idx="13">
                  <c:v>15</c:v>
                </c:pt>
                <c:pt idx="14">
                  <c:v>7</c:v>
                </c:pt>
                <c:pt idx="15">
                  <c:v>52</c:v>
                </c:pt>
                <c:pt idx="16">
                  <c:v>36</c:v>
                </c:pt>
                <c:pt idx="17">
                  <c:v>60</c:v>
                </c:pt>
                <c:pt idx="18">
                  <c:v>41</c:v>
                </c:pt>
                <c:pt idx="19">
                  <c:v>3</c:v>
                </c:pt>
                <c:pt idx="20">
                  <c:v>9</c:v>
                </c:pt>
                <c:pt idx="21">
                  <c:v>30</c:v>
                </c:pt>
                <c:pt idx="22">
                  <c:v>31</c:v>
                </c:pt>
                <c:pt idx="23">
                  <c:v>35</c:v>
                </c:pt>
                <c:pt idx="24">
                  <c:v>33</c:v>
                </c:pt>
                <c:pt idx="25">
                  <c:v>1</c:v>
                </c:pt>
                <c:pt idx="26">
                  <c:v>43</c:v>
                </c:pt>
                <c:pt idx="27">
                  <c:v>32</c:v>
                </c:pt>
                <c:pt idx="28">
                  <c:v>4</c:v>
                </c:pt>
                <c:pt idx="29">
                  <c:v>4</c:v>
                </c:pt>
                <c:pt idx="30">
                  <c:v>36</c:v>
                </c:pt>
                <c:pt idx="31">
                  <c:v>39</c:v>
                </c:pt>
                <c:pt idx="32">
                  <c:v>60</c:v>
                </c:pt>
                <c:pt idx="33">
                  <c:v>12</c:v>
                </c:pt>
                <c:pt idx="34">
                  <c:v>4</c:v>
                </c:pt>
                <c:pt idx="3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A1-4BF1-BFEB-3685F262D94C}"/>
            </c:ext>
          </c:extLst>
        </c:ser>
        <c:ser>
          <c:idx val="1"/>
          <c:order val="1"/>
          <c:tx>
            <c:strRef>
              <c:f>'Naive Forecasts'!$D$9</c:f>
              <c:strCache>
                <c:ptCount val="1"/>
                <c:pt idx="0">
                  <c:v>Naïve Forecast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'Naive Forecasts'!$B$9:$B$46</c:f>
              <c:strCache>
                <c:ptCount val="38"/>
                <c:pt idx="0">
                  <c:v>Month</c:v>
                </c:pt>
                <c:pt idx="1">
                  <c:v>Jan-20</c:v>
                </c:pt>
                <c:pt idx="2">
                  <c:v>Feb-20</c:v>
                </c:pt>
                <c:pt idx="3">
                  <c:v>Mar-20</c:v>
                </c:pt>
                <c:pt idx="4">
                  <c:v>Apr-20</c:v>
                </c:pt>
                <c:pt idx="5">
                  <c:v>May-20</c:v>
                </c:pt>
                <c:pt idx="6">
                  <c:v>Jun-20</c:v>
                </c:pt>
                <c:pt idx="7">
                  <c:v>Jul-20</c:v>
                </c:pt>
                <c:pt idx="8">
                  <c:v>Aug-20</c:v>
                </c:pt>
                <c:pt idx="9">
                  <c:v>Sep-20</c:v>
                </c:pt>
                <c:pt idx="10">
                  <c:v>Oct-20</c:v>
                </c:pt>
                <c:pt idx="11">
                  <c:v>Nov-20</c:v>
                </c:pt>
                <c:pt idx="12">
                  <c:v>Dec-20</c:v>
                </c:pt>
                <c:pt idx="13">
                  <c:v>Jan-21</c:v>
                </c:pt>
                <c:pt idx="14">
                  <c:v>Feb-21</c:v>
                </c:pt>
                <c:pt idx="15">
                  <c:v>Mar-21</c:v>
                </c:pt>
                <c:pt idx="16">
                  <c:v>Apr-21</c:v>
                </c:pt>
                <c:pt idx="17">
                  <c:v>May-21</c:v>
                </c:pt>
                <c:pt idx="18">
                  <c:v>Jun-21</c:v>
                </c:pt>
                <c:pt idx="19">
                  <c:v>Jul-21</c:v>
                </c:pt>
                <c:pt idx="20">
                  <c:v>Aug-21</c:v>
                </c:pt>
                <c:pt idx="21">
                  <c:v>Sep-21</c:v>
                </c:pt>
                <c:pt idx="22">
                  <c:v>Oct-21</c:v>
                </c:pt>
                <c:pt idx="23">
                  <c:v>Nov-21</c:v>
                </c:pt>
                <c:pt idx="24">
                  <c:v>Dec-21</c:v>
                </c:pt>
                <c:pt idx="25">
                  <c:v>Jan-22</c:v>
                </c:pt>
                <c:pt idx="26">
                  <c:v>Feb-22</c:v>
                </c:pt>
                <c:pt idx="27">
                  <c:v>Mar-22</c:v>
                </c:pt>
                <c:pt idx="28">
                  <c:v>Apr-22</c:v>
                </c:pt>
                <c:pt idx="29">
                  <c:v>May-22</c:v>
                </c:pt>
                <c:pt idx="30">
                  <c:v>Jun-22</c:v>
                </c:pt>
                <c:pt idx="31">
                  <c:v>Jul-22</c:v>
                </c:pt>
                <c:pt idx="32">
                  <c:v>Aug-22</c:v>
                </c:pt>
                <c:pt idx="33">
                  <c:v>Sep-22</c:v>
                </c:pt>
                <c:pt idx="34">
                  <c:v>Oct-22</c:v>
                </c:pt>
                <c:pt idx="35">
                  <c:v>Nov-22</c:v>
                </c:pt>
                <c:pt idx="36">
                  <c:v>Dec-22</c:v>
                </c:pt>
                <c:pt idx="37">
                  <c:v>Jan-23</c:v>
                </c:pt>
              </c:strCache>
            </c:strRef>
          </c:cat>
          <c:val>
            <c:numRef>
              <c:f>'Naive Forecasts'!$D$10:$D$45</c:f>
              <c:numCache>
                <c:formatCode>General</c:formatCode>
                <c:ptCount val="36"/>
                <c:pt idx="1">
                  <c:v>5</c:v>
                </c:pt>
                <c:pt idx="2">
                  <c:v>51</c:v>
                </c:pt>
                <c:pt idx="3">
                  <c:v>37</c:v>
                </c:pt>
                <c:pt idx="4">
                  <c:v>14</c:v>
                </c:pt>
                <c:pt idx="5">
                  <c:v>54</c:v>
                </c:pt>
                <c:pt idx="6">
                  <c:v>37</c:v>
                </c:pt>
                <c:pt idx="7">
                  <c:v>26</c:v>
                </c:pt>
                <c:pt idx="8">
                  <c:v>59</c:v>
                </c:pt>
                <c:pt idx="9">
                  <c:v>59</c:v>
                </c:pt>
                <c:pt idx="10">
                  <c:v>51</c:v>
                </c:pt>
                <c:pt idx="11">
                  <c:v>56</c:v>
                </c:pt>
                <c:pt idx="12">
                  <c:v>21</c:v>
                </c:pt>
                <c:pt idx="13">
                  <c:v>51</c:v>
                </c:pt>
                <c:pt idx="14">
                  <c:v>15</c:v>
                </c:pt>
                <c:pt idx="15">
                  <c:v>7</c:v>
                </c:pt>
                <c:pt idx="16">
                  <c:v>52</c:v>
                </c:pt>
                <c:pt idx="17">
                  <c:v>36</c:v>
                </c:pt>
                <c:pt idx="18">
                  <c:v>60</c:v>
                </c:pt>
                <c:pt idx="19">
                  <c:v>41</c:v>
                </c:pt>
                <c:pt idx="20">
                  <c:v>3</c:v>
                </c:pt>
                <c:pt idx="21">
                  <c:v>9</c:v>
                </c:pt>
                <c:pt idx="22">
                  <c:v>30</c:v>
                </c:pt>
                <c:pt idx="23">
                  <c:v>31</c:v>
                </c:pt>
                <c:pt idx="24">
                  <c:v>35</c:v>
                </c:pt>
                <c:pt idx="25">
                  <c:v>33</c:v>
                </c:pt>
                <c:pt idx="26">
                  <c:v>1</c:v>
                </c:pt>
                <c:pt idx="27">
                  <c:v>43</c:v>
                </c:pt>
                <c:pt idx="28">
                  <c:v>32</c:v>
                </c:pt>
                <c:pt idx="29">
                  <c:v>4</c:v>
                </c:pt>
                <c:pt idx="30">
                  <c:v>4</c:v>
                </c:pt>
                <c:pt idx="31">
                  <c:v>36</c:v>
                </c:pt>
                <c:pt idx="32">
                  <c:v>39</c:v>
                </c:pt>
                <c:pt idx="33">
                  <c:v>60</c:v>
                </c:pt>
                <c:pt idx="34">
                  <c:v>12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A1-4BF1-BFEB-3685F262D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4302144"/>
        <c:axId val="1470578288"/>
      </c:lineChart>
      <c:dateAx>
        <c:axId val="153430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578288"/>
        <c:crosses val="autoZero"/>
        <c:auto val="0"/>
        <c:lblOffset val="100"/>
        <c:baseTimeUnit val="days"/>
      </c:dateAx>
      <c:valAx>
        <c:axId val="1470578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30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WMA Forcasts of</a:t>
            </a:r>
            <a:r>
              <a:rPr lang="en-US" baseline="0"/>
              <a:t> Demand Levels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'Weighted Moving Average'!$C$9</c:f>
              <c:strCache>
                <c:ptCount val="1"/>
                <c:pt idx="0">
                  <c:v>Actual_Demand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'Weighted Moving Average'!$B$9:$B$46</c15:sqref>
                  </c15:fullRef>
                </c:ext>
              </c:extLst>
              <c:f>'Weighted Moving Average'!$B$10:$B$46</c:f>
              <c:strCache>
                <c:ptCount val="37"/>
                <c:pt idx="0">
                  <c:v>Jan-20</c:v>
                </c:pt>
                <c:pt idx="1">
                  <c:v>Feb-20</c:v>
                </c:pt>
                <c:pt idx="2">
                  <c:v>Mar-20</c:v>
                </c:pt>
                <c:pt idx="3">
                  <c:v>Apr-20</c:v>
                </c:pt>
                <c:pt idx="4">
                  <c:v>May-20</c:v>
                </c:pt>
                <c:pt idx="5">
                  <c:v>Jun-20</c:v>
                </c:pt>
                <c:pt idx="6">
                  <c:v>Jul-20</c:v>
                </c:pt>
                <c:pt idx="7">
                  <c:v>Aug-20</c:v>
                </c:pt>
                <c:pt idx="8">
                  <c:v>Sep-20</c:v>
                </c:pt>
                <c:pt idx="9">
                  <c:v>Oct-20</c:v>
                </c:pt>
                <c:pt idx="10">
                  <c:v>Nov-20</c:v>
                </c:pt>
                <c:pt idx="11">
                  <c:v>Dec-20</c:v>
                </c:pt>
                <c:pt idx="12">
                  <c:v>Jan-21</c:v>
                </c:pt>
                <c:pt idx="13">
                  <c:v>Feb-21</c:v>
                </c:pt>
                <c:pt idx="14">
                  <c:v>Mar-21</c:v>
                </c:pt>
                <c:pt idx="15">
                  <c:v>Apr-21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Aug-21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Dec-21</c:v>
                </c:pt>
                <c:pt idx="24">
                  <c:v>Jan-22</c:v>
                </c:pt>
                <c:pt idx="25">
                  <c:v>Feb-22</c:v>
                </c:pt>
                <c:pt idx="26">
                  <c:v>Mar-22</c:v>
                </c:pt>
                <c:pt idx="27">
                  <c:v>Apr-22</c:v>
                </c:pt>
                <c:pt idx="28">
                  <c:v>May-22</c:v>
                </c:pt>
                <c:pt idx="29">
                  <c:v>Jun-22</c:v>
                </c:pt>
                <c:pt idx="30">
                  <c:v>Jul-22</c:v>
                </c:pt>
                <c:pt idx="31">
                  <c:v>Aug-22</c:v>
                </c:pt>
                <c:pt idx="32">
                  <c:v>Sep-22</c:v>
                </c:pt>
                <c:pt idx="33">
                  <c:v>Oct-22</c:v>
                </c:pt>
                <c:pt idx="34">
                  <c:v>Nov-22</c:v>
                </c:pt>
                <c:pt idx="35">
                  <c:v>Dec-22</c:v>
                </c:pt>
                <c:pt idx="36">
                  <c:v>Jan-23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'Weighted Moving Average'!$C$10:$C$45</c15:sqref>
                  </c15:fullRef>
                </c:ext>
              </c:extLst>
              <c:f>'Weighted Moving Average'!$C$11:$C$45</c:f>
              <c:numCache>
                <c:formatCode>General</c:formatCode>
                <c:ptCount val="35"/>
                <c:pt idx="0">
                  <c:v>6</c:v>
                </c:pt>
                <c:pt idx="1">
                  <c:v>14</c:v>
                </c:pt>
                <c:pt idx="2">
                  <c:v>42</c:v>
                </c:pt>
                <c:pt idx="3">
                  <c:v>18</c:v>
                </c:pt>
                <c:pt idx="4">
                  <c:v>19</c:v>
                </c:pt>
                <c:pt idx="5">
                  <c:v>28</c:v>
                </c:pt>
                <c:pt idx="6">
                  <c:v>54</c:v>
                </c:pt>
                <c:pt idx="7">
                  <c:v>2</c:v>
                </c:pt>
                <c:pt idx="8">
                  <c:v>9</c:v>
                </c:pt>
                <c:pt idx="9">
                  <c:v>57</c:v>
                </c:pt>
                <c:pt idx="10">
                  <c:v>40</c:v>
                </c:pt>
                <c:pt idx="11">
                  <c:v>4</c:v>
                </c:pt>
                <c:pt idx="12">
                  <c:v>54</c:v>
                </c:pt>
                <c:pt idx="13">
                  <c:v>46</c:v>
                </c:pt>
                <c:pt idx="14">
                  <c:v>24</c:v>
                </c:pt>
                <c:pt idx="15">
                  <c:v>39</c:v>
                </c:pt>
                <c:pt idx="16">
                  <c:v>25</c:v>
                </c:pt>
                <c:pt idx="17">
                  <c:v>40</c:v>
                </c:pt>
                <c:pt idx="18">
                  <c:v>12</c:v>
                </c:pt>
                <c:pt idx="19">
                  <c:v>22</c:v>
                </c:pt>
                <c:pt idx="20">
                  <c:v>4</c:v>
                </c:pt>
                <c:pt idx="21">
                  <c:v>13</c:v>
                </c:pt>
                <c:pt idx="22">
                  <c:v>13</c:v>
                </c:pt>
                <c:pt idx="23">
                  <c:v>33</c:v>
                </c:pt>
                <c:pt idx="24">
                  <c:v>13</c:v>
                </c:pt>
                <c:pt idx="25">
                  <c:v>38</c:v>
                </c:pt>
                <c:pt idx="26">
                  <c:v>32</c:v>
                </c:pt>
                <c:pt idx="27">
                  <c:v>36</c:v>
                </c:pt>
                <c:pt idx="28">
                  <c:v>1</c:v>
                </c:pt>
                <c:pt idx="29">
                  <c:v>56</c:v>
                </c:pt>
                <c:pt idx="30">
                  <c:v>43</c:v>
                </c:pt>
                <c:pt idx="31">
                  <c:v>12</c:v>
                </c:pt>
                <c:pt idx="32">
                  <c:v>2</c:v>
                </c:pt>
                <c:pt idx="33">
                  <c:v>15</c:v>
                </c:pt>
                <c:pt idx="34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8-4182-9E22-E71207D0E6AF}"/>
            </c:ext>
          </c:extLst>
        </c:ser>
        <c:ser>
          <c:idx val="1"/>
          <c:order val="1"/>
          <c:tx>
            <c:strRef>
              <c:f>'Weighted Moving Average'!$D$9</c:f>
              <c:strCache>
                <c:ptCount val="1"/>
                <c:pt idx="0">
                  <c:v>WMA-2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'Weighted Moving Average'!$B$9:$B$46</c15:sqref>
                  </c15:fullRef>
                </c:ext>
              </c:extLst>
              <c:f>'Weighted Moving Average'!$B$10:$B$46</c:f>
              <c:strCache>
                <c:ptCount val="37"/>
                <c:pt idx="0">
                  <c:v>Jan-20</c:v>
                </c:pt>
                <c:pt idx="1">
                  <c:v>Feb-20</c:v>
                </c:pt>
                <c:pt idx="2">
                  <c:v>Mar-20</c:v>
                </c:pt>
                <c:pt idx="3">
                  <c:v>Apr-20</c:v>
                </c:pt>
                <c:pt idx="4">
                  <c:v>May-20</c:v>
                </c:pt>
                <c:pt idx="5">
                  <c:v>Jun-20</c:v>
                </c:pt>
                <c:pt idx="6">
                  <c:v>Jul-20</c:v>
                </c:pt>
                <c:pt idx="7">
                  <c:v>Aug-20</c:v>
                </c:pt>
                <c:pt idx="8">
                  <c:v>Sep-20</c:v>
                </c:pt>
                <c:pt idx="9">
                  <c:v>Oct-20</c:v>
                </c:pt>
                <c:pt idx="10">
                  <c:v>Nov-20</c:v>
                </c:pt>
                <c:pt idx="11">
                  <c:v>Dec-20</c:v>
                </c:pt>
                <c:pt idx="12">
                  <c:v>Jan-21</c:v>
                </c:pt>
                <c:pt idx="13">
                  <c:v>Feb-21</c:v>
                </c:pt>
                <c:pt idx="14">
                  <c:v>Mar-21</c:v>
                </c:pt>
                <c:pt idx="15">
                  <c:v>Apr-21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Aug-21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Dec-21</c:v>
                </c:pt>
                <c:pt idx="24">
                  <c:v>Jan-22</c:v>
                </c:pt>
                <c:pt idx="25">
                  <c:v>Feb-22</c:v>
                </c:pt>
                <c:pt idx="26">
                  <c:v>Mar-22</c:v>
                </c:pt>
                <c:pt idx="27">
                  <c:v>Apr-22</c:v>
                </c:pt>
                <c:pt idx="28">
                  <c:v>May-22</c:v>
                </c:pt>
                <c:pt idx="29">
                  <c:v>Jun-22</c:v>
                </c:pt>
                <c:pt idx="30">
                  <c:v>Jul-22</c:v>
                </c:pt>
                <c:pt idx="31">
                  <c:v>Aug-22</c:v>
                </c:pt>
                <c:pt idx="32">
                  <c:v>Sep-22</c:v>
                </c:pt>
                <c:pt idx="33">
                  <c:v>Oct-22</c:v>
                </c:pt>
                <c:pt idx="34">
                  <c:v>Nov-22</c:v>
                </c:pt>
                <c:pt idx="35">
                  <c:v>Dec-22</c:v>
                </c:pt>
                <c:pt idx="36">
                  <c:v>Jan-23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'Weighted Moving Average'!$D$12:$D$46</c15:sqref>
                  </c15:fullRef>
                </c:ext>
              </c:extLst>
              <c:f>'Weighted Moving Average'!$D$13:$D$46</c:f>
              <c:numCache>
                <c:formatCode>General</c:formatCode>
                <c:ptCount val="34"/>
                <c:pt idx="0">
                  <c:v>11.062665489849962</c:v>
                </c:pt>
                <c:pt idx="1">
                  <c:v>31.719329214474868</c:v>
                </c:pt>
                <c:pt idx="2">
                  <c:v>26.812003530450113</c:v>
                </c:pt>
                <c:pt idx="3">
                  <c:v>18.632833186231245</c:v>
                </c:pt>
                <c:pt idx="4">
                  <c:v>24.695498676081208</c:v>
                </c:pt>
                <c:pt idx="5">
                  <c:v>44.453662842012378</c:v>
                </c:pt>
                <c:pt idx="6">
                  <c:v>21.092674315975248</c:v>
                </c:pt>
                <c:pt idx="7">
                  <c:v>6.429832303618717</c:v>
                </c:pt>
                <c:pt idx="8">
                  <c:v>39.375992939099774</c:v>
                </c:pt>
                <c:pt idx="9">
                  <c:v>46.241835834068837</c:v>
                </c:pt>
                <c:pt idx="10">
                  <c:v>17.218005295675169</c:v>
                </c:pt>
                <c:pt idx="11">
                  <c:v>35.641659311562265</c:v>
                </c:pt>
                <c:pt idx="12">
                  <c:v>48.937334510150038</c:v>
                </c:pt>
                <c:pt idx="13">
                  <c:v>32.077669902912604</c:v>
                </c:pt>
                <c:pt idx="14">
                  <c:v>33.492497793468679</c:v>
                </c:pt>
                <c:pt idx="15">
                  <c:v>30.140335392762566</c:v>
                </c:pt>
                <c:pt idx="16">
                  <c:v>34.492497793468679</c:v>
                </c:pt>
                <c:pt idx="17">
                  <c:v>22.280670785525132</c:v>
                </c:pt>
                <c:pt idx="18">
                  <c:v>18.328331862312453</c:v>
                </c:pt>
                <c:pt idx="19">
                  <c:v>10.609002647837587</c:v>
                </c:pt>
                <c:pt idx="20">
                  <c:v>9.6954986760812076</c:v>
                </c:pt>
                <c:pt idx="21">
                  <c:v>13</c:v>
                </c:pt>
                <c:pt idx="22">
                  <c:v>25.656663724624906</c:v>
                </c:pt>
                <c:pt idx="23">
                  <c:v>20.343336275375094</c:v>
                </c:pt>
                <c:pt idx="24">
                  <c:v>28.820829655781132</c:v>
                </c:pt>
                <c:pt idx="25">
                  <c:v>34.203000882612528</c:v>
                </c:pt>
                <c:pt idx="26">
                  <c:v>34.531332744924981</c:v>
                </c:pt>
                <c:pt idx="27">
                  <c:v>13.850838481906417</c:v>
                </c:pt>
                <c:pt idx="28">
                  <c:v>35.805825242718491</c:v>
                </c:pt>
                <c:pt idx="29">
                  <c:v>47.773168578993818</c:v>
                </c:pt>
                <c:pt idx="30">
                  <c:v>23.382171226831396</c:v>
                </c:pt>
                <c:pt idx="31">
                  <c:v>5.671668137687548</c:v>
                </c:pt>
                <c:pt idx="32">
                  <c:v>10.226831421006189</c:v>
                </c:pt>
                <c:pt idx="33">
                  <c:v>20.695498676081208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8-4182-9E22-E71207D0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167232"/>
        <c:axId val="949628320"/>
      </c:lineChart>
      <c:dateAx>
        <c:axId val="123116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Date</a:t>
                </a:r>
              </a:p>
              <a:p>
                <a:pPr>
                  <a:defRPr sz="1600"/>
                </a:pPr>
                <a:endParaRPr lang="en-US" sz="1600"/>
              </a:p>
            </c:rich>
          </c:tx>
          <c:layout>
            <c:manualLayout>
              <c:xMode val="edge"/>
              <c:yMode val="edge"/>
              <c:x val="0.40702117235345581"/>
              <c:y val="0.85458333333333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628320"/>
        <c:crosses val="autoZero"/>
        <c:auto val="1"/>
        <c:lblOffset val="100"/>
        <c:baseTimeUnit val="months"/>
      </c:dateAx>
      <c:valAx>
        <c:axId val="9496283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16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WMA Forcasts of Demand Levels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'Exponential Smoothing'!$C$9</c:f>
              <c:strCache>
                <c:ptCount val="1"/>
                <c:pt idx="0">
                  <c:v>Actual_Demand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'Exponential Smoothing'!$B$10:$B$46</c:f>
              <c:numCache>
                <c:formatCode>mmm\-yy</c:formatCode>
                <c:ptCount val="3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</c:numCache>
            </c:numRef>
          </c:cat>
          <c:val>
            <c:numRef>
              <c:f>'Exponential Smoothing'!$C$10:$C$45</c:f>
              <c:numCache>
                <c:formatCode>General</c:formatCode>
                <c:ptCount val="36"/>
                <c:pt idx="0">
                  <c:v>6</c:v>
                </c:pt>
                <c:pt idx="1">
                  <c:v>3</c:v>
                </c:pt>
                <c:pt idx="2">
                  <c:v>44</c:v>
                </c:pt>
                <c:pt idx="3">
                  <c:v>26</c:v>
                </c:pt>
                <c:pt idx="4">
                  <c:v>46</c:v>
                </c:pt>
                <c:pt idx="5">
                  <c:v>41</c:v>
                </c:pt>
                <c:pt idx="6">
                  <c:v>28</c:v>
                </c:pt>
                <c:pt idx="7">
                  <c:v>14</c:v>
                </c:pt>
                <c:pt idx="8">
                  <c:v>30</c:v>
                </c:pt>
                <c:pt idx="9">
                  <c:v>8</c:v>
                </c:pt>
                <c:pt idx="10">
                  <c:v>46</c:v>
                </c:pt>
                <c:pt idx="11">
                  <c:v>30</c:v>
                </c:pt>
                <c:pt idx="12">
                  <c:v>9</c:v>
                </c:pt>
                <c:pt idx="13">
                  <c:v>36</c:v>
                </c:pt>
                <c:pt idx="14">
                  <c:v>40</c:v>
                </c:pt>
                <c:pt idx="15">
                  <c:v>3</c:v>
                </c:pt>
                <c:pt idx="16">
                  <c:v>25</c:v>
                </c:pt>
                <c:pt idx="17">
                  <c:v>9</c:v>
                </c:pt>
                <c:pt idx="18">
                  <c:v>33</c:v>
                </c:pt>
                <c:pt idx="19">
                  <c:v>31</c:v>
                </c:pt>
                <c:pt idx="20">
                  <c:v>5</c:v>
                </c:pt>
                <c:pt idx="21">
                  <c:v>6</c:v>
                </c:pt>
                <c:pt idx="22">
                  <c:v>4</c:v>
                </c:pt>
                <c:pt idx="23">
                  <c:v>22</c:v>
                </c:pt>
                <c:pt idx="24">
                  <c:v>3</c:v>
                </c:pt>
                <c:pt idx="25">
                  <c:v>6</c:v>
                </c:pt>
                <c:pt idx="26">
                  <c:v>45</c:v>
                </c:pt>
                <c:pt idx="27">
                  <c:v>14</c:v>
                </c:pt>
                <c:pt idx="28">
                  <c:v>40</c:v>
                </c:pt>
                <c:pt idx="29">
                  <c:v>13</c:v>
                </c:pt>
                <c:pt idx="30">
                  <c:v>44</c:v>
                </c:pt>
                <c:pt idx="31">
                  <c:v>42</c:v>
                </c:pt>
                <c:pt idx="32">
                  <c:v>47</c:v>
                </c:pt>
                <c:pt idx="33">
                  <c:v>48</c:v>
                </c:pt>
                <c:pt idx="34">
                  <c:v>8</c:v>
                </c:pt>
                <c:pt idx="3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C9-4D89-B2CB-ED335C80EEBA}"/>
            </c:ext>
          </c:extLst>
        </c:ser>
        <c:ser>
          <c:idx val="1"/>
          <c:order val="1"/>
          <c:tx>
            <c:strRef>
              <c:f>'Exponential Smoothing'!$D$9</c:f>
              <c:strCache>
                <c:ptCount val="1"/>
                <c:pt idx="0">
                  <c:v>Demand Forecast (Training Data)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'Exponential Smoothing'!$B$10:$B$46</c:f>
              <c:numCache>
                <c:formatCode>mmm\-yy</c:formatCode>
                <c:ptCount val="3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</c:numCache>
            </c:numRef>
          </c:cat>
          <c:val>
            <c:numRef>
              <c:f>'Exponential Smoothing'!$D$10:$D$46</c:f>
              <c:numCache>
                <c:formatCode>0.00</c:formatCode>
                <c:ptCount val="37"/>
                <c:pt idx="0" formatCode="General">
                  <c:v>6</c:v>
                </c:pt>
                <c:pt idx="1">
                  <c:v>6</c:v>
                </c:pt>
                <c:pt idx="2">
                  <c:v>3.6</c:v>
                </c:pt>
                <c:pt idx="3">
                  <c:v>35.92</c:v>
                </c:pt>
                <c:pt idx="4">
                  <c:v>27.983999999999998</c:v>
                </c:pt>
                <c:pt idx="5">
                  <c:v>42.396799999999999</c:v>
                </c:pt>
                <c:pt idx="6">
                  <c:v>41.279360000000004</c:v>
                </c:pt>
                <c:pt idx="7">
                  <c:v>30.655872000000002</c:v>
                </c:pt>
                <c:pt idx="8">
                  <c:v>17.331174400000002</c:v>
                </c:pt>
                <c:pt idx="9">
                  <c:v>27.466234879999998</c:v>
                </c:pt>
                <c:pt idx="10">
                  <c:v>11.893246975999999</c:v>
                </c:pt>
                <c:pt idx="11">
                  <c:v>39.178649395200004</c:v>
                </c:pt>
                <c:pt idx="12">
                  <c:v>31.835729879039999</c:v>
                </c:pt>
                <c:pt idx="13">
                  <c:v>13.567145975808</c:v>
                </c:pt>
                <c:pt idx="14">
                  <c:v>31.513429195161599</c:v>
                </c:pt>
                <c:pt idx="15">
                  <c:v>38.302685839032321</c:v>
                </c:pt>
                <c:pt idx="16">
                  <c:v>10.060537167806462</c:v>
                </c:pt>
                <c:pt idx="17">
                  <c:v>22.01210743356129</c:v>
                </c:pt>
                <c:pt idx="18">
                  <c:v>11.602421486712256</c:v>
                </c:pt>
                <c:pt idx="19">
                  <c:v>28.720484297342452</c:v>
                </c:pt>
                <c:pt idx="20">
                  <c:v>30.544096859468489</c:v>
                </c:pt>
                <c:pt idx="21">
                  <c:v>10.108819371893697</c:v>
                </c:pt>
                <c:pt idx="22">
                  <c:v>6.821763874378739</c:v>
                </c:pt>
                <c:pt idx="23">
                  <c:v>4.564352774875748</c:v>
                </c:pt>
                <c:pt idx="24">
                  <c:v>18.512870554975152</c:v>
                </c:pt>
                <c:pt idx="25">
                  <c:v>6.1025741109950298</c:v>
                </c:pt>
                <c:pt idx="26">
                  <c:v>6.0205148221990061</c:v>
                </c:pt>
                <c:pt idx="27">
                  <c:v>37.204102964439798</c:v>
                </c:pt>
                <c:pt idx="28">
                  <c:v>18.640820592887959</c:v>
                </c:pt>
                <c:pt idx="29">
                  <c:v>35.728164118577588</c:v>
                </c:pt>
                <c:pt idx="30">
                  <c:v>17.545632823715515</c:v>
                </c:pt>
                <c:pt idx="31">
                  <c:v>38.709126564743102</c:v>
                </c:pt>
                <c:pt idx="32">
                  <c:v>41.341825312948622</c:v>
                </c:pt>
                <c:pt idx="33">
                  <c:v>45.868365062589724</c:v>
                </c:pt>
                <c:pt idx="34">
                  <c:v>47.573673012517951</c:v>
                </c:pt>
                <c:pt idx="35">
                  <c:v>15.914734602503588</c:v>
                </c:pt>
                <c:pt idx="36" formatCode="General">
                  <c:v>27.182946920500719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C9-4D89-B2CB-ED335C80E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167232"/>
        <c:axId val="949628320"/>
      </c:lineChart>
      <c:dateAx>
        <c:axId val="123116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40702117235345581"/>
              <c:y val="0.85458333333333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628320"/>
        <c:crosses val="autoZero"/>
        <c:auto val="1"/>
        <c:lblOffset val="100"/>
        <c:baseTimeUnit val="months"/>
      </c:dateAx>
      <c:valAx>
        <c:axId val="9496283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16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WMA Forcasts of</a:t>
            </a:r>
            <a:r>
              <a:rPr lang="en-US" baseline="0"/>
              <a:t> Demand Levels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051206834439811E-2"/>
          <c:y val="0.17186219588458629"/>
          <c:w val="0.80292244351808961"/>
          <c:h val="0.41931824732616318"/>
        </c:manualLayout>
      </c:layout>
      <c:lineChart>
        <c:grouping val="standard"/>
        <c:varyColors val="0"/>
        <c:ser>
          <c:idx val="0"/>
          <c:order val="0"/>
          <c:tx>
            <c:strRef>
              <c:f>'ARIMA '!$C$9</c:f>
              <c:strCache>
                <c:ptCount val="1"/>
                <c:pt idx="0">
                  <c:v>Actual_Demand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'ARIMA '!$B$10:$B$46</c:f>
              <c:numCache>
                <c:formatCode>mmm\-yy</c:formatCode>
                <c:ptCount val="3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</c:numCache>
            </c:numRef>
          </c:cat>
          <c:val>
            <c:numRef>
              <c:f>'ARIMA '!$C$10:$C$45</c:f>
              <c:numCache>
                <c:formatCode>General</c:formatCode>
                <c:ptCount val="36"/>
                <c:pt idx="0">
                  <c:v>6</c:v>
                </c:pt>
                <c:pt idx="1">
                  <c:v>3</c:v>
                </c:pt>
                <c:pt idx="2">
                  <c:v>44</c:v>
                </c:pt>
                <c:pt idx="3">
                  <c:v>26</c:v>
                </c:pt>
                <c:pt idx="4">
                  <c:v>46</c:v>
                </c:pt>
                <c:pt idx="5">
                  <c:v>41</c:v>
                </c:pt>
                <c:pt idx="6">
                  <c:v>28</c:v>
                </c:pt>
                <c:pt idx="7">
                  <c:v>14</c:v>
                </c:pt>
                <c:pt idx="8">
                  <c:v>30</c:v>
                </c:pt>
                <c:pt idx="9">
                  <c:v>8</c:v>
                </c:pt>
                <c:pt idx="10">
                  <c:v>46</c:v>
                </c:pt>
                <c:pt idx="11">
                  <c:v>30</c:v>
                </c:pt>
                <c:pt idx="12">
                  <c:v>9</c:v>
                </c:pt>
                <c:pt idx="13">
                  <c:v>36</c:v>
                </c:pt>
                <c:pt idx="14">
                  <c:v>40</c:v>
                </c:pt>
                <c:pt idx="15">
                  <c:v>3</c:v>
                </c:pt>
                <c:pt idx="16">
                  <c:v>25</c:v>
                </c:pt>
                <c:pt idx="17">
                  <c:v>9</c:v>
                </c:pt>
                <c:pt idx="18">
                  <c:v>33</c:v>
                </c:pt>
                <c:pt idx="19">
                  <c:v>31</c:v>
                </c:pt>
                <c:pt idx="20">
                  <c:v>5</c:v>
                </c:pt>
                <c:pt idx="21">
                  <c:v>6</c:v>
                </c:pt>
                <c:pt idx="22">
                  <c:v>4</c:v>
                </c:pt>
                <c:pt idx="23">
                  <c:v>22</c:v>
                </c:pt>
                <c:pt idx="24">
                  <c:v>3</c:v>
                </c:pt>
                <c:pt idx="25">
                  <c:v>6</c:v>
                </c:pt>
                <c:pt idx="26">
                  <c:v>45</c:v>
                </c:pt>
                <c:pt idx="27">
                  <c:v>14</c:v>
                </c:pt>
                <c:pt idx="28">
                  <c:v>40</c:v>
                </c:pt>
                <c:pt idx="29">
                  <c:v>13</c:v>
                </c:pt>
                <c:pt idx="30">
                  <c:v>44</c:v>
                </c:pt>
                <c:pt idx="31">
                  <c:v>42</c:v>
                </c:pt>
                <c:pt idx="32">
                  <c:v>47</c:v>
                </c:pt>
                <c:pt idx="33">
                  <c:v>48</c:v>
                </c:pt>
                <c:pt idx="34">
                  <c:v>8</c:v>
                </c:pt>
                <c:pt idx="3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2B-4435-B2E9-FDA9192B6E18}"/>
            </c:ext>
          </c:extLst>
        </c:ser>
        <c:ser>
          <c:idx val="1"/>
          <c:order val="1"/>
          <c:tx>
            <c:strRef>
              <c:f>'ARIMA '!$E$9</c:f>
              <c:strCache>
                <c:ptCount val="1"/>
                <c:pt idx="0">
                  <c:v>ARIMA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'ARIMA '!$B$10:$B$46</c:f>
              <c:numCache>
                <c:formatCode>mmm\-yy</c:formatCode>
                <c:ptCount val="3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</c:numCache>
            </c:numRef>
          </c:cat>
          <c:val>
            <c:numRef>
              <c:f>'ARIMA '!$E$10:$E$46</c:f>
              <c:numCache>
                <c:formatCode>General</c:formatCode>
                <c:ptCount val="37"/>
                <c:pt idx="0">
                  <c:v>6</c:v>
                </c:pt>
                <c:pt idx="1">
                  <c:v>3</c:v>
                </c:pt>
                <c:pt idx="2" formatCode="0.00">
                  <c:v>2.5034124556560844</c:v>
                </c:pt>
                <c:pt idx="3" formatCode="0.00">
                  <c:v>29.000910674181867</c:v>
                </c:pt>
                <c:pt idx="4" formatCode="0.00">
                  <c:v>30.447447153885928</c:v>
                </c:pt>
                <c:pt idx="5" formatCode="0.00">
                  <c:v>37.922559251703653</c:v>
                </c:pt>
                <c:pt idx="6" formatCode="0.00">
                  <c:v>41.162617082086726</c:v>
                </c:pt>
                <c:pt idx="7" formatCode="0.00">
                  <c:v>30.799435587809313</c:v>
                </c:pt>
                <c:pt idx="8" formatCode="0.00">
                  <c:v>17.129037901024638</c:v>
                </c:pt>
                <c:pt idx="9" formatCode="0.00">
                  <c:v>23.240968504564947</c:v>
                </c:pt>
                <c:pt idx="10" formatCode="0.00">
                  <c:v>13.765856406747222</c:v>
                </c:pt>
                <c:pt idx="11" formatCode="0.00">
                  <c:v>31.989717613827835</c:v>
                </c:pt>
                <c:pt idx="12" formatCode="0.00">
                  <c:v>33.788242527455282</c:v>
                </c:pt>
                <c:pt idx="13" formatCode="0.00">
                  <c:v>14.4362540935319</c:v>
                </c:pt>
                <c:pt idx="14" formatCode="0.00">
                  <c:v>25.615343059196391</c:v>
                </c:pt>
                <c:pt idx="15" formatCode="0.00">
                  <c:v>37.196196263148821</c:v>
                </c:pt>
                <c:pt idx="16" formatCode="0.00">
                  <c:v>13.70989110497707</c:v>
                </c:pt>
                <c:pt idx="17" formatCode="0.00">
                  <c:v>16.263354625273006</c:v>
                </c:pt>
                <c:pt idx="18" formatCode="0.00">
                  <c:v>12.788242527455285</c:v>
                </c:pt>
                <c:pt idx="19" formatCode="0.00">
                  <c:v>23.60414999884236</c:v>
                </c:pt>
                <c:pt idx="20" formatCode="0.00">
                  <c:v>30.173810142440761</c:v>
                </c:pt>
                <c:pt idx="21" formatCode="0.00">
                  <c:v>12.084265659608516</c:v>
                </c:pt>
                <c:pt idx="22" formatCode="0.00">
                  <c:v>4.1850032027947917</c:v>
                </c:pt>
                <c:pt idx="23" formatCode="0.00">
                  <c:v>3.173810142440761</c:v>
                </c:pt>
                <c:pt idx="24" formatCode="0.00">
                  <c:v>14.5817638781343</c:v>
                </c:pt>
                <c:pt idx="25" formatCode="0.00">
                  <c:v>7.7770494671012536</c:v>
                </c:pt>
                <c:pt idx="26" formatCode="0.00">
                  <c:v>3.5257985763641457</c:v>
                </c:pt>
                <c:pt idx="27" formatCode="0.00">
                  <c:v>30.660115300612514</c:v>
                </c:pt>
                <c:pt idx="28" formatCode="0.00">
                  <c:v>22.732277225685131</c:v>
                </c:pt>
                <c:pt idx="29" formatCode="0.00">
                  <c:v>29.944945372411716</c:v>
                </c:pt>
                <c:pt idx="30" formatCode="0.00">
                  <c:v>20.413867972823837</c:v>
                </c:pt>
                <c:pt idx="31" formatCode="0.00">
                  <c:v>32.296933806335097</c:v>
                </c:pt>
                <c:pt idx="32" formatCode="0.00">
                  <c:v>41.173810142440757</c:v>
                </c:pt>
                <c:pt idx="33" formatCode="0.00">
                  <c:v>43.866593949933502</c:v>
                </c:pt>
                <c:pt idx="34" formatCode="0.00">
                  <c:v>46.185003202794789</c:v>
                </c:pt>
                <c:pt idx="35" formatCode="0.00">
                  <c:v>19.698698044623036</c:v>
                </c:pt>
                <c:pt idx="36" formatCode="0.00">
                  <c:v>21.263354625273006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2B-4435-B2E9-FDA9192B6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167232"/>
        <c:axId val="949628320"/>
      </c:lineChart>
      <c:dateAx>
        <c:axId val="123116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Date</a:t>
                </a:r>
              </a:p>
              <a:p>
                <a:pPr>
                  <a:defRPr sz="1600"/>
                </a:pPr>
                <a:endParaRPr lang="en-US" sz="1600"/>
              </a:p>
            </c:rich>
          </c:tx>
          <c:layout>
            <c:manualLayout>
              <c:xMode val="edge"/>
              <c:yMode val="edge"/>
              <c:x val="0.40702117235345581"/>
              <c:y val="0.85458333333333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628320"/>
        <c:crosses val="autoZero"/>
        <c:auto val="1"/>
        <c:lblOffset val="100"/>
        <c:baseTimeUnit val="months"/>
      </c:dateAx>
      <c:valAx>
        <c:axId val="9496283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16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'ARIMA '!$E$49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2649825021872266E-2"/>
                  <c:y val="-0.342967337416156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'ARIMA '!$E$50:$E$85</c:f>
              <c:numCache>
                <c:formatCode>General</c:formatCode>
                <c:ptCount val="36"/>
                <c:pt idx="0">
                  <c:v>0</c:v>
                </c:pt>
                <c:pt idx="1">
                  <c:v>46</c:v>
                </c:pt>
                <c:pt idx="2">
                  <c:v>-14</c:v>
                </c:pt>
                <c:pt idx="3">
                  <c:v>-23</c:v>
                </c:pt>
                <c:pt idx="4">
                  <c:v>40</c:v>
                </c:pt>
                <c:pt idx="5">
                  <c:v>-17</c:v>
                </c:pt>
                <c:pt idx="6">
                  <c:v>-11</c:v>
                </c:pt>
                <c:pt idx="7">
                  <c:v>33</c:v>
                </c:pt>
                <c:pt idx="8">
                  <c:v>0</c:v>
                </c:pt>
                <c:pt idx="9">
                  <c:v>-8</c:v>
                </c:pt>
                <c:pt idx="10">
                  <c:v>5</c:v>
                </c:pt>
                <c:pt idx="11">
                  <c:v>-35</c:v>
                </c:pt>
                <c:pt idx="12">
                  <c:v>30</c:v>
                </c:pt>
                <c:pt idx="13">
                  <c:v>-36</c:v>
                </c:pt>
                <c:pt idx="14">
                  <c:v>-8</c:v>
                </c:pt>
                <c:pt idx="15">
                  <c:v>45</c:v>
                </c:pt>
                <c:pt idx="16">
                  <c:v>-16</c:v>
                </c:pt>
                <c:pt idx="17">
                  <c:v>24</c:v>
                </c:pt>
                <c:pt idx="18">
                  <c:v>-19</c:v>
                </c:pt>
                <c:pt idx="19">
                  <c:v>-38</c:v>
                </c:pt>
                <c:pt idx="20">
                  <c:v>6</c:v>
                </c:pt>
                <c:pt idx="21">
                  <c:v>21</c:v>
                </c:pt>
                <c:pt idx="22">
                  <c:v>1</c:v>
                </c:pt>
                <c:pt idx="23">
                  <c:v>4</c:v>
                </c:pt>
                <c:pt idx="24">
                  <c:v>-2</c:v>
                </c:pt>
                <c:pt idx="25">
                  <c:v>-32</c:v>
                </c:pt>
                <c:pt idx="26">
                  <c:v>42</c:v>
                </c:pt>
                <c:pt idx="27">
                  <c:v>-11</c:v>
                </c:pt>
                <c:pt idx="28">
                  <c:v>-28</c:v>
                </c:pt>
                <c:pt idx="29">
                  <c:v>0</c:v>
                </c:pt>
                <c:pt idx="30">
                  <c:v>32</c:v>
                </c:pt>
                <c:pt idx="31">
                  <c:v>3</c:v>
                </c:pt>
                <c:pt idx="32">
                  <c:v>21</c:v>
                </c:pt>
                <c:pt idx="33">
                  <c:v>-48</c:v>
                </c:pt>
                <c:pt idx="34">
                  <c:v>-8</c:v>
                </c:pt>
                <c:pt idx="35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B2-4F1F-8046-0F45C57800D4}"/>
            </c:ext>
          </c:extLst>
        </c:ser>
        <c:ser>
          <c:idx val="1"/>
          <c:order val="1"/>
          <c:tx>
            <c:strRef>
              <c:f>'ARIMA '!$F$49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320942694663167"/>
                  <c:y val="-0.334825386410032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'ARIMA '!$F$50:$F$85</c:f>
              <c:numCache>
                <c:formatCode>General</c:formatCode>
                <c:ptCount val="36"/>
                <c:pt idx="0">
                  <c:v>46</c:v>
                </c:pt>
                <c:pt idx="1">
                  <c:v>-14</c:v>
                </c:pt>
                <c:pt idx="2">
                  <c:v>-23</c:v>
                </c:pt>
                <c:pt idx="3">
                  <c:v>40</c:v>
                </c:pt>
                <c:pt idx="4">
                  <c:v>-17</c:v>
                </c:pt>
                <c:pt idx="5">
                  <c:v>-11</c:v>
                </c:pt>
                <c:pt idx="6">
                  <c:v>33</c:v>
                </c:pt>
                <c:pt idx="7">
                  <c:v>0</c:v>
                </c:pt>
                <c:pt idx="8">
                  <c:v>-8</c:v>
                </c:pt>
                <c:pt idx="9">
                  <c:v>5</c:v>
                </c:pt>
                <c:pt idx="10">
                  <c:v>-35</c:v>
                </c:pt>
                <c:pt idx="11">
                  <c:v>30</c:v>
                </c:pt>
                <c:pt idx="12">
                  <c:v>-36</c:v>
                </c:pt>
                <c:pt idx="13">
                  <c:v>-8</c:v>
                </c:pt>
                <c:pt idx="14">
                  <c:v>45</c:v>
                </c:pt>
                <c:pt idx="15">
                  <c:v>-16</c:v>
                </c:pt>
                <c:pt idx="16">
                  <c:v>24</c:v>
                </c:pt>
                <c:pt idx="17">
                  <c:v>-19</c:v>
                </c:pt>
                <c:pt idx="18">
                  <c:v>-38</c:v>
                </c:pt>
                <c:pt idx="19">
                  <c:v>6</c:v>
                </c:pt>
                <c:pt idx="20">
                  <c:v>21</c:v>
                </c:pt>
                <c:pt idx="21">
                  <c:v>1</c:v>
                </c:pt>
                <c:pt idx="22">
                  <c:v>4</c:v>
                </c:pt>
                <c:pt idx="23">
                  <c:v>-2</c:v>
                </c:pt>
                <c:pt idx="24">
                  <c:v>-32</c:v>
                </c:pt>
                <c:pt idx="25">
                  <c:v>42</c:v>
                </c:pt>
                <c:pt idx="26">
                  <c:v>-11</c:v>
                </c:pt>
                <c:pt idx="27">
                  <c:v>-28</c:v>
                </c:pt>
                <c:pt idx="28">
                  <c:v>0</c:v>
                </c:pt>
                <c:pt idx="29">
                  <c:v>32</c:v>
                </c:pt>
                <c:pt idx="30">
                  <c:v>3</c:v>
                </c:pt>
                <c:pt idx="31">
                  <c:v>21</c:v>
                </c:pt>
                <c:pt idx="32">
                  <c:v>-48</c:v>
                </c:pt>
                <c:pt idx="33">
                  <c:v>-8</c:v>
                </c:pt>
                <c:pt idx="34">
                  <c:v>-2</c:v>
                </c:pt>
                <c:pt idx="35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B2-4F1F-8046-0F45C5780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777584"/>
        <c:axId val="1471164528"/>
      </c:lineChart>
      <c:catAx>
        <c:axId val="1719777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64528"/>
        <c:crosses val="autoZero"/>
        <c:auto val="1"/>
        <c:lblAlgn val="ctr"/>
        <c:lblOffset val="100"/>
        <c:noMultiLvlLbl val="0"/>
      </c:catAx>
      <c:valAx>
        <c:axId val="14711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77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76199</xdr:colOff>
      <xdr:row>7</xdr:row>
      <xdr:rowOff>185737</xdr:rowOff>
    </xdr:from>
    <xdr:to>
      <xdr:col>13</xdr:col>
      <xdr:colOff>19050</xdr:colOff>
      <xdr:row>22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9D813A-5908-4014-9DEB-8D2A64451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185735</xdr:colOff>
      <xdr:row>7</xdr:row>
      <xdr:rowOff>190499</xdr:rowOff>
    </xdr:from>
    <xdr:to>
      <xdr:col>18</xdr:col>
      <xdr:colOff>414335</xdr:colOff>
      <xdr:row>22</xdr:row>
      <xdr:rowOff>64292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FB9B41-7093-4BA8-968E-38EC92BB3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8</xdr:row>
      <xdr:rowOff>4762</xdr:rowOff>
    </xdr:from>
    <xdr:to>
      <xdr:col>13</xdr:col>
      <xdr:colOff>161925</xdr:colOff>
      <xdr:row>22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747CE-BDED-4FAB-A9D6-03AE257A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1</xdr:row>
      <xdr:rowOff>28574</xdr:rowOff>
    </xdr:from>
    <xdr:to>
      <xdr:col>13</xdr:col>
      <xdr:colOff>447675</xdr:colOff>
      <xdr:row>14</xdr:row>
      <xdr:rowOff>35717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3BDEBF-7A09-47CA-9CB8-CF4F3998F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76200</xdr:colOff>
      <xdr:row>67</xdr:row>
      <xdr:rowOff>80962</xdr:rowOff>
    </xdr:from>
    <xdr:to>
      <xdr:col>8</xdr:col>
      <xdr:colOff>609600</xdr:colOff>
      <xdr:row>81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D7BFD2-35F7-482E-BA61-FEDFD8D5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46B2DC-9341-44B1-8141-9EDFF57045D1}" name="Table1" displayName="Table1" ref="A1:F38" totalsRowShown="0" headerRowDxfId="5">
  <autoFilter ref="A1:F38" xr:uid="{754CBC8C-D8E2-4774-80CD-0EA067B40D6F}"/>
  <tableColumns count="6">
    <tableColumn id="1" xr3:uid="{4DA3E076-DC3D-4F67-9FAE-5CDEA4CF549D}" name="Year" dataDxfId="4"/>
    <tableColumn id="2" xr3:uid="{68163A26-A1B8-46BF-9FA2-703978E892DC}" name="Months"/>
    <tableColumn id="3" xr3:uid="{838CBB04-4757-4DF9-9852-5393D884B88D}" name="Product A"/>
    <tableColumn id="4" xr3:uid="{D29E61ED-71EA-4090-8043-ABB45D0148FC}" name="Product B"/>
    <tableColumn id="5" xr3:uid="{800122DF-A610-44F6-AD2B-8A472C0AA542}" name="Product C"/>
    <tableColumn id="6" xr3:uid="{A807893C-A380-4B7B-9773-464D48E8E087}" name="Product 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3F0B5C-35D2-4BF7-B8C8-889C238CE962}" name="Table5" displayName="Table5" ref="B4:E8" totalsRowShown="0">
  <autoFilter ref="B4:E8" xr:uid="{0B2345BD-BB9E-47EB-9C28-A0E7D2302D30}"/>
  <tableColumns count="4">
    <tableColumn id="1" xr3:uid="{AF59DBF7-24C1-4DB9-AD06-AC687F73EFA4}" name="Product Name"/>
    <tableColumn id="2" xr3:uid="{935C41B4-EEF4-42E5-A91E-B133F174C1D1}" name="Stock In Hand"/>
    <tableColumn id="3" xr3:uid="{2C1A1933-75D3-4956-BE5C-680F7F1D8F74}" name="ROL" dataDxfId="0">
      <calculatedColumnFormula>'Safety Stock'!P4*'Safety Stock'!R4+'Safety Stock'!T4</calculatedColumnFormula>
    </tableColumn>
    <tableColumn id="4" xr3:uid="{11CAB9E3-3C7B-4C22-9C91-6C2930859CA4}" name="Inventory Action">
      <calculatedColumnFormula>IF(C5&lt;=D5,"Re-Order","Sufficient")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13C9D-62DA-434C-AF8D-C206F7E16AA8}">
  <sheetPr codeName="Sheet1"/>
  <dimension ref="A1:F38"/>
  <sheetViews>
    <sheetView workbookViewId="0">
      <selection activeCell="I9" sqref="I9"/>
    </sheetView>
  </sheetViews>
  <sheetFormatPr defaultRowHeight="15" x14ac:dyDescent="0.25"/>
  <cols>
    <col min="2" max="2" width="10.85546875" bestFit="1" customWidth="1"/>
    <col min="3" max="3" width="11.7109375" customWidth="1"/>
    <col min="4" max="5" width="11.5703125" customWidth="1"/>
    <col min="6" max="6" width="11.7109375" customWidth="1"/>
  </cols>
  <sheetData>
    <row r="1" spans="1:6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5">
      <c r="A2" s="39">
        <v>2020</v>
      </c>
      <c r="B2" s="56">
        <v>43831</v>
      </c>
      <c r="C2" s="4">
        <v>6</v>
      </c>
      <c r="D2" s="4">
        <v>33</v>
      </c>
      <c r="E2" s="4">
        <v>6</v>
      </c>
      <c r="F2" s="4">
        <v>5</v>
      </c>
    </row>
    <row r="3" spans="1:6" x14ac:dyDescent="0.25">
      <c r="A3" s="39"/>
      <c r="B3" s="56">
        <v>43862</v>
      </c>
      <c r="C3" s="4">
        <v>3</v>
      </c>
      <c r="D3" s="4">
        <v>51</v>
      </c>
      <c r="E3" s="4">
        <v>6</v>
      </c>
      <c r="F3" s="4">
        <v>51</v>
      </c>
    </row>
    <row r="4" spans="1:6" x14ac:dyDescent="0.25">
      <c r="A4" s="39"/>
      <c r="B4" s="56">
        <v>43891</v>
      </c>
      <c r="C4" s="4">
        <v>44</v>
      </c>
      <c r="D4" s="4">
        <v>28</v>
      </c>
      <c r="E4" s="4">
        <v>14</v>
      </c>
      <c r="F4" s="4">
        <v>37</v>
      </c>
    </row>
    <row r="5" spans="1:6" x14ac:dyDescent="0.25">
      <c r="A5" s="39"/>
      <c r="B5" s="56">
        <v>43922</v>
      </c>
      <c r="C5" s="4">
        <v>26</v>
      </c>
      <c r="D5" s="4">
        <v>14</v>
      </c>
      <c r="E5" s="4">
        <v>42</v>
      </c>
      <c r="F5" s="4">
        <v>14</v>
      </c>
    </row>
    <row r="6" spans="1:6" x14ac:dyDescent="0.25">
      <c r="A6" s="39"/>
      <c r="B6" s="56">
        <v>43952</v>
      </c>
      <c r="C6" s="4">
        <v>46</v>
      </c>
      <c r="D6" s="4">
        <v>24</v>
      </c>
      <c r="E6" s="4">
        <v>18</v>
      </c>
      <c r="F6" s="4">
        <v>54</v>
      </c>
    </row>
    <row r="7" spans="1:6" x14ac:dyDescent="0.25">
      <c r="A7" s="39"/>
      <c r="B7" s="56">
        <v>43983</v>
      </c>
      <c r="C7" s="4">
        <v>41</v>
      </c>
      <c r="D7" s="4">
        <v>54</v>
      </c>
      <c r="E7" s="4">
        <v>19</v>
      </c>
      <c r="F7" s="4">
        <v>37</v>
      </c>
    </row>
    <row r="8" spans="1:6" x14ac:dyDescent="0.25">
      <c r="A8" s="39"/>
      <c r="B8" s="56">
        <v>44013</v>
      </c>
      <c r="C8" s="4">
        <v>28</v>
      </c>
      <c r="D8" s="4">
        <v>7</v>
      </c>
      <c r="E8" s="4">
        <v>28</v>
      </c>
      <c r="F8" s="4">
        <v>26</v>
      </c>
    </row>
    <row r="9" spans="1:6" x14ac:dyDescent="0.25">
      <c r="A9" s="39"/>
      <c r="B9" s="56">
        <v>44044</v>
      </c>
      <c r="C9" s="4">
        <v>14</v>
      </c>
      <c r="D9" s="4">
        <v>4</v>
      </c>
      <c r="E9" s="4">
        <v>54</v>
      </c>
      <c r="F9" s="4">
        <v>59</v>
      </c>
    </row>
    <row r="10" spans="1:6" x14ac:dyDescent="0.25">
      <c r="A10" s="39"/>
      <c r="B10" s="56">
        <v>44075</v>
      </c>
      <c r="C10" s="4">
        <v>30</v>
      </c>
      <c r="D10" s="4">
        <v>40</v>
      </c>
      <c r="E10" s="4">
        <v>2</v>
      </c>
      <c r="F10" s="4">
        <v>59</v>
      </c>
    </row>
    <row r="11" spans="1:6" x14ac:dyDescent="0.25">
      <c r="A11" s="39"/>
      <c r="B11" s="56">
        <v>44105</v>
      </c>
      <c r="C11" s="4">
        <v>8</v>
      </c>
      <c r="D11" s="4">
        <v>55</v>
      </c>
      <c r="E11" s="4">
        <v>9</v>
      </c>
      <c r="F11" s="4">
        <v>51</v>
      </c>
    </row>
    <row r="12" spans="1:6" x14ac:dyDescent="0.25">
      <c r="A12" s="39"/>
      <c r="B12" s="56">
        <v>44136</v>
      </c>
      <c r="C12" s="4">
        <v>46</v>
      </c>
      <c r="D12" s="4">
        <v>15</v>
      </c>
      <c r="E12" s="4">
        <v>57</v>
      </c>
      <c r="F12" s="4">
        <v>56</v>
      </c>
    </row>
    <row r="13" spans="1:6" x14ac:dyDescent="0.25">
      <c r="A13" s="39"/>
      <c r="B13" s="56">
        <v>44166</v>
      </c>
      <c r="C13" s="4">
        <v>30</v>
      </c>
      <c r="D13" s="4">
        <v>22</v>
      </c>
      <c r="E13" s="4">
        <v>40</v>
      </c>
      <c r="F13" s="4">
        <v>21</v>
      </c>
    </row>
    <row r="14" spans="1:6" x14ac:dyDescent="0.25">
      <c r="A14" s="39">
        <v>2021</v>
      </c>
      <c r="B14" s="56">
        <v>44197</v>
      </c>
      <c r="C14" s="4">
        <v>9</v>
      </c>
      <c r="D14" s="4">
        <v>53</v>
      </c>
      <c r="E14" s="4">
        <v>4</v>
      </c>
      <c r="F14" s="4">
        <v>51</v>
      </c>
    </row>
    <row r="15" spans="1:6" x14ac:dyDescent="0.25">
      <c r="A15" s="39"/>
      <c r="B15" s="56">
        <v>44228</v>
      </c>
      <c r="C15" s="4">
        <v>36</v>
      </c>
      <c r="D15" s="4">
        <v>3</v>
      </c>
      <c r="E15" s="4">
        <v>54</v>
      </c>
      <c r="F15" s="4">
        <v>15</v>
      </c>
    </row>
    <row r="16" spans="1:6" x14ac:dyDescent="0.25">
      <c r="A16" s="39"/>
      <c r="B16" s="56">
        <v>44256</v>
      </c>
      <c r="C16" s="4">
        <v>40</v>
      </c>
      <c r="D16" s="4">
        <v>17</v>
      </c>
      <c r="E16" s="4">
        <v>46</v>
      </c>
      <c r="F16" s="4">
        <v>7</v>
      </c>
    </row>
    <row r="17" spans="1:6" x14ac:dyDescent="0.25">
      <c r="A17" s="39"/>
      <c r="B17" s="56">
        <v>44287</v>
      </c>
      <c r="C17" s="4">
        <v>3</v>
      </c>
      <c r="D17" s="4">
        <v>50</v>
      </c>
      <c r="E17" s="4">
        <v>24</v>
      </c>
      <c r="F17" s="4">
        <v>52</v>
      </c>
    </row>
    <row r="18" spans="1:6" x14ac:dyDescent="0.25">
      <c r="A18" s="39"/>
      <c r="B18" s="56">
        <v>44317</v>
      </c>
      <c r="C18" s="4">
        <v>25</v>
      </c>
      <c r="D18" s="4">
        <v>57</v>
      </c>
      <c r="E18" s="4">
        <v>39</v>
      </c>
      <c r="F18" s="4">
        <v>36</v>
      </c>
    </row>
    <row r="19" spans="1:6" x14ac:dyDescent="0.25">
      <c r="A19" s="39"/>
      <c r="B19" s="56">
        <v>44348</v>
      </c>
      <c r="C19" s="4">
        <v>9</v>
      </c>
      <c r="D19" s="4">
        <v>19</v>
      </c>
      <c r="E19" s="4">
        <v>25</v>
      </c>
      <c r="F19" s="4">
        <v>60</v>
      </c>
    </row>
    <row r="20" spans="1:6" x14ac:dyDescent="0.25">
      <c r="A20" s="39"/>
      <c r="B20" s="56">
        <v>44378</v>
      </c>
      <c r="C20" s="4">
        <v>33</v>
      </c>
      <c r="D20" s="4">
        <v>55</v>
      </c>
      <c r="E20" s="4">
        <v>40</v>
      </c>
      <c r="F20" s="4">
        <v>41</v>
      </c>
    </row>
    <row r="21" spans="1:6" x14ac:dyDescent="0.25">
      <c r="A21" s="39"/>
      <c r="B21" s="56">
        <v>44409</v>
      </c>
      <c r="C21" s="4">
        <v>31</v>
      </c>
      <c r="D21" s="4">
        <v>37</v>
      </c>
      <c r="E21" s="4">
        <v>12</v>
      </c>
      <c r="F21" s="4">
        <v>3</v>
      </c>
    </row>
    <row r="22" spans="1:6" x14ac:dyDescent="0.25">
      <c r="A22" s="39"/>
      <c r="B22" s="56">
        <v>44440</v>
      </c>
      <c r="C22" s="4">
        <v>5</v>
      </c>
      <c r="D22" s="4">
        <v>33</v>
      </c>
      <c r="E22" s="4">
        <v>22</v>
      </c>
      <c r="F22" s="4">
        <v>9</v>
      </c>
    </row>
    <row r="23" spans="1:6" x14ac:dyDescent="0.25">
      <c r="A23" s="39"/>
      <c r="B23" s="56">
        <v>44470</v>
      </c>
      <c r="C23" s="4">
        <v>6</v>
      </c>
      <c r="D23" s="4">
        <v>56</v>
      </c>
      <c r="E23" s="4">
        <v>4</v>
      </c>
      <c r="F23" s="4">
        <v>30</v>
      </c>
    </row>
    <row r="24" spans="1:6" x14ac:dyDescent="0.25">
      <c r="A24" s="39"/>
      <c r="B24" s="56">
        <v>44501</v>
      </c>
      <c r="C24" s="4">
        <v>4</v>
      </c>
      <c r="D24" s="4">
        <v>33</v>
      </c>
      <c r="E24" s="4">
        <v>13</v>
      </c>
      <c r="F24" s="4">
        <v>31</v>
      </c>
    </row>
    <row r="25" spans="1:6" x14ac:dyDescent="0.25">
      <c r="A25" s="39"/>
      <c r="B25" s="56">
        <v>44531</v>
      </c>
      <c r="C25" s="4">
        <v>22</v>
      </c>
      <c r="D25" s="4">
        <v>24</v>
      </c>
      <c r="E25" s="4">
        <v>13</v>
      </c>
      <c r="F25" s="4">
        <v>35</v>
      </c>
    </row>
    <row r="26" spans="1:6" x14ac:dyDescent="0.25">
      <c r="A26" s="39">
        <v>2022</v>
      </c>
      <c r="B26" s="56">
        <v>44562</v>
      </c>
      <c r="C26" s="4">
        <v>3</v>
      </c>
      <c r="D26" s="4">
        <v>28</v>
      </c>
      <c r="E26" s="4">
        <v>33</v>
      </c>
      <c r="F26" s="4">
        <v>33</v>
      </c>
    </row>
    <row r="27" spans="1:6" x14ac:dyDescent="0.25">
      <c r="A27" s="39"/>
      <c r="B27" s="56">
        <v>44593</v>
      </c>
      <c r="C27" s="4">
        <v>6</v>
      </c>
      <c r="D27" s="4">
        <v>20</v>
      </c>
      <c r="E27" s="4">
        <v>13</v>
      </c>
      <c r="F27" s="4">
        <v>1</v>
      </c>
    </row>
    <row r="28" spans="1:6" x14ac:dyDescent="0.25">
      <c r="A28" s="39"/>
      <c r="B28" s="56">
        <v>44621</v>
      </c>
      <c r="C28" s="4">
        <v>45</v>
      </c>
      <c r="D28" s="4">
        <v>4</v>
      </c>
      <c r="E28" s="4">
        <v>38</v>
      </c>
      <c r="F28" s="4">
        <v>43</v>
      </c>
    </row>
    <row r="29" spans="1:6" x14ac:dyDescent="0.25">
      <c r="A29" s="39"/>
      <c r="B29" s="56">
        <v>44652</v>
      </c>
      <c r="C29" s="4">
        <v>14</v>
      </c>
      <c r="D29" s="4">
        <v>55</v>
      </c>
      <c r="E29" s="4">
        <v>32</v>
      </c>
      <c r="F29" s="4">
        <v>32</v>
      </c>
    </row>
    <row r="30" spans="1:6" x14ac:dyDescent="0.25">
      <c r="A30" s="39"/>
      <c r="B30" s="56">
        <v>44682</v>
      </c>
      <c r="C30" s="4">
        <v>40</v>
      </c>
      <c r="D30" s="4">
        <v>21</v>
      </c>
      <c r="E30" s="4">
        <v>36</v>
      </c>
      <c r="F30" s="4">
        <v>4</v>
      </c>
    </row>
    <row r="31" spans="1:6" x14ac:dyDescent="0.25">
      <c r="A31" s="39"/>
      <c r="B31" s="56">
        <v>44713</v>
      </c>
      <c r="C31" s="4">
        <v>13</v>
      </c>
      <c r="D31" s="4">
        <v>25</v>
      </c>
      <c r="E31" s="4">
        <v>1</v>
      </c>
      <c r="F31" s="4">
        <v>4</v>
      </c>
    </row>
    <row r="32" spans="1:6" x14ac:dyDescent="0.25">
      <c r="A32" s="39"/>
      <c r="B32" s="56">
        <v>44743</v>
      </c>
      <c r="C32" s="4">
        <v>44</v>
      </c>
      <c r="D32" s="4">
        <v>4</v>
      </c>
      <c r="E32" s="4">
        <v>56</v>
      </c>
      <c r="F32" s="4">
        <v>36</v>
      </c>
    </row>
    <row r="33" spans="1:6" x14ac:dyDescent="0.25">
      <c r="A33" s="39"/>
      <c r="B33" s="56">
        <v>44774</v>
      </c>
      <c r="C33" s="4">
        <v>42</v>
      </c>
      <c r="D33" s="4">
        <v>12</v>
      </c>
      <c r="E33" s="4">
        <v>43</v>
      </c>
      <c r="F33" s="4">
        <v>39</v>
      </c>
    </row>
    <row r="34" spans="1:6" x14ac:dyDescent="0.25">
      <c r="A34" s="39"/>
      <c r="B34" s="56">
        <v>44805</v>
      </c>
      <c r="C34" s="4">
        <v>47</v>
      </c>
      <c r="D34" s="4">
        <v>37</v>
      </c>
      <c r="E34" s="4">
        <v>12</v>
      </c>
      <c r="F34" s="4">
        <v>60</v>
      </c>
    </row>
    <row r="35" spans="1:6" x14ac:dyDescent="0.25">
      <c r="A35" s="39"/>
      <c r="B35" s="56">
        <v>44835</v>
      </c>
      <c r="C35" s="4">
        <v>48</v>
      </c>
      <c r="D35" s="4">
        <v>29</v>
      </c>
      <c r="E35" s="4">
        <v>2</v>
      </c>
      <c r="F35" s="4">
        <v>12</v>
      </c>
    </row>
    <row r="36" spans="1:6" x14ac:dyDescent="0.25">
      <c r="A36" s="39"/>
      <c r="B36" s="56">
        <v>44866</v>
      </c>
      <c r="C36" s="4">
        <v>8</v>
      </c>
      <c r="D36" s="4">
        <v>34</v>
      </c>
      <c r="E36" s="4">
        <v>15</v>
      </c>
      <c r="F36" s="4">
        <v>4</v>
      </c>
    </row>
    <row r="37" spans="1:6" x14ac:dyDescent="0.25">
      <c r="A37" s="39"/>
      <c r="B37" s="56">
        <v>44896</v>
      </c>
      <c r="C37" s="4">
        <v>30</v>
      </c>
      <c r="D37" s="4">
        <v>21</v>
      </c>
      <c r="E37" s="4">
        <v>24</v>
      </c>
      <c r="F37" s="4">
        <v>2</v>
      </c>
    </row>
    <row r="38" spans="1:6" x14ac:dyDescent="0.25">
      <c r="A38" s="40">
        <v>2023</v>
      </c>
      <c r="B38" s="56">
        <v>44927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A3A6A-16EC-4B32-8868-F32F7DBF607D}">
  <sheetPr codeName="Sheet2"/>
  <dimension ref="A1:V46"/>
  <sheetViews>
    <sheetView workbookViewId="0">
      <selection activeCell="B6" sqref="B6"/>
    </sheetView>
  </sheetViews>
  <sheetFormatPr defaultRowHeight="15" x14ac:dyDescent="0.25"/>
  <cols>
    <col min="1" max="1" width="7.85546875" bestFit="1" customWidth="1"/>
    <col min="2" max="2" width="10.85546875" bestFit="1" customWidth="1"/>
    <col min="3" max="3" width="14.5703125" bestFit="1" customWidth="1"/>
    <col min="4" max="4" width="14" bestFit="1" customWidth="1"/>
    <col min="5" max="5" width="15.85546875" bestFit="1" customWidth="1"/>
    <col min="6" max="6" width="5.28515625" bestFit="1" customWidth="1"/>
    <col min="7" max="7" width="13.85546875" bestFit="1" customWidth="1"/>
    <col min="8" max="8" width="13.140625" bestFit="1" customWidth="1"/>
    <col min="9" max="9" width="15.85546875" bestFit="1" customWidth="1"/>
    <col min="10" max="11" width="41.28515625" bestFit="1" customWidth="1"/>
  </cols>
  <sheetData>
    <row r="1" spans="1:22" s="14" customFormat="1" ht="21.75" thickBot="1" x14ac:dyDescent="0.4">
      <c r="A1" s="114" t="s">
        <v>6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</row>
    <row r="2" spans="1:22" ht="15.75" thickBot="1" x14ac:dyDescent="0.3">
      <c r="A2" s="15" t="s">
        <v>7</v>
      </c>
      <c r="B2" s="16">
        <f>AVERAGE(G10:G45)</f>
        <v>20.8</v>
      </c>
    </row>
    <row r="3" spans="1:22" ht="18.75" x14ac:dyDescent="0.3">
      <c r="A3" s="2" t="s">
        <v>8</v>
      </c>
      <c r="B3" s="3">
        <f>AVERAGE(H39:H45)</f>
        <v>779</v>
      </c>
      <c r="J3" s="81" t="s">
        <v>70</v>
      </c>
      <c r="K3" s="83">
        <f>'Measures of Errors'!B1</f>
        <v>17.022520359964297</v>
      </c>
    </row>
    <row r="4" spans="1:22" ht="19.5" thickBot="1" x14ac:dyDescent="0.35">
      <c r="A4" s="17" t="s">
        <v>9</v>
      </c>
      <c r="B4" s="41">
        <f>AVERAGE(I39:I45)</f>
        <v>0.62661782661782672</v>
      </c>
      <c r="J4" s="82" t="s">
        <v>69</v>
      </c>
      <c r="K4" s="84" t="str">
        <f>'Measures of Errors'!B2</f>
        <v>Exponential Smoothing</v>
      </c>
    </row>
    <row r="5" spans="1:22" ht="15.75" thickBot="1" x14ac:dyDescent="0.3"/>
    <row r="6" spans="1:22" ht="15.75" thickBot="1" x14ac:dyDescent="0.3">
      <c r="A6" s="18" t="s">
        <v>10</v>
      </c>
      <c r="B6" s="19" t="s">
        <v>5</v>
      </c>
    </row>
    <row r="8" spans="1:22" ht="15.75" thickBot="1" x14ac:dyDescent="0.3"/>
    <row r="9" spans="1:22" x14ac:dyDescent="0.25">
      <c r="A9" s="22" t="s">
        <v>0</v>
      </c>
      <c r="B9" s="23" t="s">
        <v>11</v>
      </c>
      <c r="C9" s="23" t="s">
        <v>17</v>
      </c>
      <c r="D9" s="23" t="s">
        <v>6</v>
      </c>
      <c r="E9" s="23" t="s">
        <v>16</v>
      </c>
      <c r="F9" s="23" t="s">
        <v>12</v>
      </c>
      <c r="G9" s="23" t="s">
        <v>13</v>
      </c>
      <c r="H9" s="23" t="s">
        <v>14</v>
      </c>
      <c r="I9" s="24" t="s">
        <v>15</v>
      </c>
    </row>
    <row r="10" spans="1:22" x14ac:dyDescent="0.25">
      <c r="A10" s="115">
        <v>2020</v>
      </c>
      <c r="B10" s="43">
        <v>43831</v>
      </c>
      <c r="C10" s="7">
        <f>IF($B$6="Product A",'Actual Demand Database'!C2,IF($B$6="Product B",'Actual Demand Database'!D2,IF($B$6="Product C",'Actual Demand Database'!E2,IF($B$6="Product D",'Actual Demand Database'!F2,"N/A"))))</f>
        <v>5</v>
      </c>
      <c r="D10" s="1"/>
      <c r="E10" s="116"/>
      <c r="F10" s="1"/>
      <c r="G10" s="1"/>
      <c r="H10" s="1"/>
      <c r="I10" s="3"/>
    </row>
    <row r="11" spans="1:22" x14ac:dyDescent="0.25">
      <c r="A11" s="115"/>
      <c r="B11" s="43">
        <v>43862</v>
      </c>
      <c r="C11" s="7">
        <f>IF($B$6="Product A",'Actual Demand Database'!C3,IF($B$6="Product B",'Actual Demand Database'!D3,IF($B$6="Product C",'Actual Demand Database'!E3,IF($B$6="Product D",'Actual Demand Database'!F3,"N/A"))))</f>
        <v>51</v>
      </c>
      <c r="D11" s="1">
        <f>C10</f>
        <v>5</v>
      </c>
      <c r="E11" s="117"/>
      <c r="F11" s="1">
        <f>C11-D11</f>
        <v>46</v>
      </c>
      <c r="G11" s="1">
        <f>ABS(F11)</f>
        <v>46</v>
      </c>
      <c r="H11" s="1">
        <f>F11^2</f>
        <v>2116</v>
      </c>
      <c r="I11" s="20">
        <f>(G11/C11)</f>
        <v>0.90196078431372551</v>
      </c>
    </row>
    <row r="12" spans="1:22" x14ac:dyDescent="0.25">
      <c r="A12" s="115"/>
      <c r="B12" s="43">
        <v>43891</v>
      </c>
      <c r="C12" s="7">
        <f>IF($B$6="Product A",'Actual Demand Database'!C4,IF($B$6="Product B",'Actual Demand Database'!D4,IF($B$6="Product C",'Actual Demand Database'!E4,IF($B$6="Product D",'Actual Demand Database'!F4,"N/A"))))</f>
        <v>37</v>
      </c>
      <c r="D12" s="1">
        <f t="shared" ref="D12:D46" si="0">C11</f>
        <v>51</v>
      </c>
      <c r="E12" s="117"/>
      <c r="F12" s="1">
        <f t="shared" ref="F12:F38" si="1">C12-D12</f>
        <v>-14</v>
      </c>
      <c r="G12" s="1">
        <f t="shared" ref="G12:G45" si="2">ABS(F12)</f>
        <v>14</v>
      </c>
      <c r="H12" s="1">
        <f t="shared" ref="H12:H45" si="3">F12^2</f>
        <v>196</v>
      </c>
      <c r="I12" s="20">
        <f t="shared" ref="I12:I45" si="4">(G12/C12)</f>
        <v>0.3783783783783784</v>
      </c>
    </row>
    <row r="13" spans="1:22" x14ac:dyDescent="0.25">
      <c r="A13" s="115"/>
      <c r="B13" s="43">
        <v>43922</v>
      </c>
      <c r="C13" s="7">
        <f>IF($B$6="Product A",'Actual Demand Database'!C5,IF($B$6="Product B",'Actual Demand Database'!D5,IF($B$6="Product C",'Actual Demand Database'!E5,IF($B$6="Product D",'Actual Demand Database'!F5,"N/A"))))</f>
        <v>14</v>
      </c>
      <c r="D13" s="1">
        <f t="shared" si="0"/>
        <v>37</v>
      </c>
      <c r="E13" s="117"/>
      <c r="F13" s="1">
        <f t="shared" si="1"/>
        <v>-23</v>
      </c>
      <c r="G13" s="1">
        <f t="shared" si="2"/>
        <v>23</v>
      </c>
      <c r="H13" s="1">
        <f t="shared" si="3"/>
        <v>529</v>
      </c>
      <c r="I13" s="20">
        <f t="shared" si="4"/>
        <v>1.6428571428571428</v>
      </c>
    </row>
    <row r="14" spans="1:22" x14ac:dyDescent="0.25">
      <c r="A14" s="115"/>
      <c r="B14" s="43">
        <v>43952</v>
      </c>
      <c r="C14" s="7">
        <f>IF($B$6="Product A",'Actual Demand Database'!C6,IF($B$6="Product B",'Actual Demand Database'!D6,IF($B$6="Product C",'Actual Demand Database'!E6,IF($B$6="Product D",'Actual Demand Database'!F6,"N/A"))))</f>
        <v>54</v>
      </c>
      <c r="D14" s="1">
        <f t="shared" si="0"/>
        <v>14</v>
      </c>
      <c r="E14" s="117"/>
      <c r="F14" s="1">
        <f t="shared" si="1"/>
        <v>40</v>
      </c>
      <c r="G14" s="1">
        <f t="shared" si="2"/>
        <v>40</v>
      </c>
      <c r="H14" s="1">
        <f t="shared" si="3"/>
        <v>1600</v>
      </c>
      <c r="I14" s="20">
        <f t="shared" si="4"/>
        <v>0.7407407407407407</v>
      </c>
    </row>
    <row r="15" spans="1:22" x14ac:dyDescent="0.25">
      <c r="A15" s="115"/>
      <c r="B15" s="43">
        <v>43983</v>
      </c>
      <c r="C15" s="7">
        <f>IF($B$6="Product A",'Actual Demand Database'!C7,IF($B$6="Product B",'Actual Demand Database'!D7,IF($B$6="Product C",'Actual Demand Database'!E7,IF($B$6="Product D",'Actual Demand Database'!F7,"N/A"))))</f>
        <v>37</v>
      </c>
      <c r="D15" s="1">
        <f t="shared" si="0"/>
        <v>54</v>
      </c>
      <c r="E15" s="117"/>
      <c r="F15" s="1">
        <f t="shared" si="1"/>
        <v>-17</v>
      </c>
      <c r="G15" s="1">
        <f t="shared" si="2"/>
        <v>17</v>
      </c>
      <c r="H15" s="1">
        <f t="shared" si="3"/>
        <v>289</v>
      </c>
      <c r="I15" s="20">
        <f t="shared" si="4"/>
        <v>0.45945945945945948</v>
      </c>
    </row>
    <row r="16" spans="1:22" x14ac:dyDescent="0.25">
      <c r="A16" s="115"/>
      <c r="B16" s="43">
        <v>44013</v>
      </c>
      <c r="C16" s="7">
        <f>IF($B$6="Product A",'Actual Demand Database'!C8,IF($B$6="Product B",'Actual Demand Database'!D8,IF($B$6="Product C",'Actual Demand Database'!E8,IF($B$6="Product D",'Actual Demand Database'!F8,"N/A"))))</f>
        <v>26</v>
      </c>
      <c r="D16" s="1">
        <f t="shared" si="0"/>
        <v>37</v>
      </c>
      <c r="E16" s="117"/>
      <c r="F16" s="1">
        <f t="shared" si="1"/>
        <v>-11</v>
      </c>
      <c r="G16" s="1">
        <f t="shared" si="2"/>
        <v>11</v>
      </c>
      <c r="H16" s="1">
        <f t="shared" si="3"/>
        <v>121</v>
      </c>
      <c r="I16" s="20">
        <f t="shared" si="4"/>
        <v>0.42307692307692307</v>
      </c>
    </row>
    <row r="17" spans="1:9" x14ac:dyDescent="0.25">
      <c r="A17" s="115"/>
      <c r="B17" s="43">
        <v>44044</v>
      </c>
      <c r="C17" s="7">
        <f>IF($B$6="Product A",'Actual Demand Database'!C9,IF($B$6="Product B",'Actual Demand Database'!D9,IF($B$6="Product C",'Actual Demand Database'!E9,IF($B$6="Product D",'Actual Demand Database'!F9,"N/A"))))</f>
        <v>59</v>
      </c>
      <c r="D17" s="1">
        <f t="shared" si="0"/>
        <v>26</v>
      </c>
      <c r="E17" s="117"/>
      <c r="F17" s="1">
        <f t="shared" si="1"/>
        <v>33</v>
      </c>
      <c r="G17" s="1">
        <f t="shared" si="2"/>
        <v>33</v>
      </c>
      <c r="H17" s="1">
        <f t="shared" si="3"/>
        <v>1089</v>
      </c>
      <c r="I17" s="20">
        <f t="shared" si="4"/>
        <v>0.55932203389830504</v>
      </c>
    </row>
    <row r="18" spans="1:9" x14ac:dyDescent="0.25">
      <c r="A18" s="115"/>
      <c r="B18" s="43">
        <v>44075</v>
      </c>
      <c r="C18" s="7">
        <f>IF($B$6="Product A",'Actual Demand Database'!C10,IF($B$6="Product B",'Actual Demand Database'!D10,IF($B$6="Product C",'Actual Demand Database'!E10,IF($B$6="Product D",'Actual Demand Database'!F10,"N/A"))))</f>
        <v>59</v>
      </c>
      <c r="D18" s="1">
        <f t="shared" si="0"/>
        <v>59</v>
      </c>
      <c r="E18" s="117"/>
      <c r="F18" s="1">
        <f t="shared" si="1"/>
        <v>0</v>
      </c>
      <c r="G18" s="1">
        <f t="shared" si="2"/>
        <v>0</v>
      </c>
      <c r="H18" s="1">
        <f t="shared" si="3"/>
        <v>0</v>
      </c>
      <c r="I18" s="20">
        <f t="shared" si="4"/>
        <v>0</v>
      </c>
    </row>
    <row r="19" spans="1:9" x14ac:dyDescent="0.25">
      <c r="A19" s="115"/>
      <c r="B19" s="43">
        <v>44105</v>
      </c>
      <c r="C19" s="7">
        <f>IF($B$6="Product A",'Actual Demand Database'!C11,IF($B$6="Product B",'Actual Demand Database'!D11,IF($B$6="Product C",'Actual Demand Database'!E11,IF($B$6="Product D",'Actual Demand Database'!F11,"N/A"))))</f>
        <v>51</v>
      </c>
      <c r="D19" s="1">
        <f t="shared" si="0"/>
        <v>59</v>
      </c>
      <c r="E19" s="117"/>
      <c r="F19" s="1">
        <f t="shared" si="1"/>
        <v>-8</v>
      </c>
      <c r="G19" s="1">
        <f t="shared" si="2"/>
        <v>8</v>
      </c>
      <c r="H19" s="1">
        <f t="shared" si="3"/>
        <v>64</v>
      </c>
      <c r="I19" s="20">
        <f t="shared" si="4"/>
        <v>0.15686274509803921</v>
      </c>
    </row>
    <row r="20" spans="1:9" x14ac:dyDescent="0.25">
      <c r="A20" s="115"/>
      <c r="B20" s="43">
        <v>44136</v>
      </c>
      <c r="C20" s="7">
        <f>IF($B$6="Product A",'Actual Demand Database'!C12,IF($B$6="Product B",'Actual Demand Database'!D12,IF($B$6="Product C",'Actual Demand Database'!E12,IF($B$6="Product D",'Actual Demand Database'!F12,"N/A"))))</f>
        <v>56</v>
      </c>
      <c r="D20" s="1">
        <f t="shared" si="0"/>
        <v>51</v>
      </c>
      <c r="E20" s="117"/>
      <c r="F20" s="1">
        <f t="shared" si="1"/>
        <v>5</v>
      </c>
      <c r="G20" s="1">
        <f>ABS(F20)</f>
        <v>5</v>
      </c>
      <c r="H20" s="1">
        <f>F20^2</f>
        <v>25</v>
      </c>
      <c r="I20" s="20">
        <f t="shared" si="4"/>
        <v>8.9285714285714288E-2</v>
      </c>
    </row>
    <row r="21" spans="1:9" x14ac:dyDescent="0.25">
      <c r="A21" s="115"/>
      <c r="B21" s="43">
        <v>44166</v>
      </c>
      <c r="C21" s="7">
        <f>IF($B$6="Product A",'Actual Demand Database'!C13,IF($B$6="Product B",'Actual Demand Database'!D13,IF($B$6="Product C",'Actual Demand Database'!E13,IF($B$6="Product D",'Actual Demand Database'!F13,"N/A"))))</f>
        <v>21</v>
      </c>
      <c r="D21" s="1">
        <f t="shared" si="0"/>
        <v>56</v>
      </c>
      <c r="E21" s="117"/>
      <c r="F21" s="1">
        <f t="shared" si="1"/>
        <v>-35</v>
      </c>
      <c r="G21" s="1">
        <f t="shared" si="2"/>
        <v>35</v>
      </c>
      <c r="H21" s="1">
        <f t="shared" si="3"/>
        <v>1225</v>
      </c>
      <c r="I21" s="20">
        <f t="shared" si="4"/>
        <v>1.6666666666666667</v>
      </c>
    </row>
    <row r="22" spans="1:9" x14ac:dyDescent="0.25">
      <c r="A22" s="115">
        <v>2021</v>
      </c>
      <c r="B22" s="43">
        <v>44197</v>
      </c>
      <c r="C22" s="7">
        <f>IF($B$6="Product A",'Actual Demand Database'!C14,IF($B$6="Product B",'Actual Demand Database'!D14,IF($B$6="Product C",'Actual Demand Database'!E14,IF($B$6="Product D",'Actual Demand Database'!F14,"N/A"))))</f>
        <v>51</v>
      </c>
      <c r="D22" s="1">
        <f t="shared" si="0"/>
        <v>21</v>
      </c>
      <c r="E22" s="117"/>
      <c r="F22" s="1">
        <f t="shared" si="1"/>
        <v>30</v>
      </c>
      <c r="G22" s="1">
        <f t="shared" si="2"/>
        <v>30</v>
      </c>
      <c r="H22" s="1">
        <f t="shared" si="3"/>
        <v>900</v>
      </c>
      <c r="I22" s="20">
        <f t="shared" si="4"/>
        <v>0.58823529411764708</v>
      </c>
    </row>
    <row r="23" spans="1:9" x14ac:dyDescent="0.25">
      <c r="A23" s="115"/>
      <c r="B23" s="43">
        <v>44228</v>
      </c>
      <c r="C23" s="7">
        <f>IF($B$6="Product A",'Actual Demand Database'!C15,IF($B$6="Product B",'Actual Demand Database'!D15,IF($B$6="Product C",'Actual Demand Database'!E15,IF($B$6="Product D",'Actual Demand Database'!F15,"N/A"))))</f>
        <v>15</v>
      </c>
      <c r="D23" s="1">
        <f t="shared" si="0"/>
        <v>51</v>
      </c>
      <c r="E23" s="117"/>
      <c r="F23" s="1">
        <f t="shared" si="1"/>
        <v>-36</v>
      </c>
      <c r="G23" s="1">
        <f t="shared" si="2"/>
        <v>36</v>
      </c>
      <c r="H23" s="1">
        <f t="shared" si="3"/>
        <v>1296</v>
      </c>
      <c r="I23" s="20">
        <f t="shared" si="4"/>
        <v>2.4</v>
      </c>
    </row>
    <row r="24" spans="1:9" x14ac:dyDescent="0.25">
      <c r="A24" s="115"/>
      <c r="B24" s="43">
        <v>44256</v>
      </c>
      <c r="C24" s="7">
        <f>IF($B$6="Product A",'Actual Demand Database'!C16,IF($B$6="Product B",'Actual Demand Database'!D16,IF($B$6="Product C",'Actual Demand Database'!E16,IF($B$6="Product D",'Actual Demand Database'!F16,"N/A"))))</f>
        <v>7</v>
      </c>
      <c r="D24" s="1">
        <f t="shared" si="0"/>
        <v>15</v>
      </c>
      <c r="E24" s="117"/>
      <c r="F24" s="1">
        <f t="shared" si="1"/>
        <v>-8</v>
      </c>
      <c r="G24" s="1">
        <f t="shared" si="2"/>
        <v>8</v>
      </c>
      <c r="H24" s="1">
        <f t="shared" si="3"/>
        <v>64</v>
      </c>
      <c r="I24" s="20">
        <f t="shared" si="4"/>
        <v>1.1428571428571428</v>
      </c>
    </row>
    <row r="25" spans="1:9" x14ac:dyDescent="0.25">
      <c r="A25" s="115"/>
      <c r="B25" s="43">
        <v>44287</v>
      </c>
      <c r="C25" s="7">
        <f>IF($B$6="Product A",'Actual Demand Database'!C17,IF($B$6="Product B",'Actual Demand Database'!D17,IF($B$6="Product C",'Actual Demand Database'!E17,IF($B$6="Product D",'Actual Demand Database'!F17,"N/A"))))</f>
        <v>52</v>
      </c>
      <c r="D25" s="1">
        <f t="shared" si="0"/>
        <v>7</v>
      </c>
      <c r="E25" s="117"/>
      <c r="F25" s="1">
        <f t="shared" si="1"/>
        <v>45</v>
      </c>
      <c r="G25" s="1">
        <f t="shared" si="2"/>
        <v>45</v>
      </c>
      <c r="H25" s="1">
        <f t="shared" si="3"/>
        <v>2025</v>
      </c>
      <c r="I25" s="20">
        <f t="shared" si="4"/>
        <v>0.86538461538461542</v>
      </c>
    </row>
    <row r="26" spans="1:9" x14ac:dyDescent="0.25">
      <c r="A26" s="115"/>
      <c r="B26" s="43">
        <v>44317</v>
      </c>
      <c r="C26" s="7">
        <f>IF($B$6="Product A",'Actual Demand Database'!C18,IF($B$6="Product B",'Actual Demand Database'!D18,IF($B$6="Product C",'Actual Demand Database'!E18,IF($B$6="Product D",'Actual Demand Database'!F18,"N/A"))))</f>
        <v>36</v>
      </c>
      <c r="D26" s="1">
        <f t="shared" si="0"/>
        <v>52</v>
      </c>
      <c r="E26" s="117"/>
      <c r="F26" s="1">
        <f t="shared" si="1"/>
        <v>-16</v>
      </c>
      <c r="G26" s="1">
        <f t="shared" si="2"/>
        <v>16</v>
      </c>
      <c r="H26" s="1">
        <f t="shared" si="3"/>
        <v>256</v>
      </c>
      <c r="I26" s="20">
        <f t="shared" si="4"/>
        <v>0.44444444444444442</v>
      </c>
    </row>
    <row r="27" spans="1:9" x14ac:dyDescent="0.25">
      <c r="A27" s="115"/>
      <c r="B27" s="43">
        <v>44348</v>
      </c>
      <c r="C27" s="7">
        <f>IF($B$6="Product A",'Actual Demand Database'!C19,IF($B$6="Product B",'Actual Demand Database'!D19,IF($B$6="Product C",'Actual Demand Database'!E19,IF($B$6="Product D",'Actual Demand Database'!F19,"N/A"))))</f>
        <v>60</v>
      </c>
      <c r="D27" s="1">
        <f t="shared" si="0"/>
        <v>36</v>
      </c>
      <c r="E27" s="117"/>
      <c r="F27" s="1">
        <f t="shared" si="1"/>
        <v>24</v>
      </c>
      <c r="G27" s="1">
        <f t="shared" si="2"/>
        <v>24</v>
      </c>
      <c r="H27" s="1">
        <f t="shared" si="3"/>
        <v>576</v>
      </c>
      <c r="I27" s="20">
        <f t="shared" si="4"/>
        <v>0.4</v>
      </c>
    </row>
    <row r="28" spans="1:9" x14ac:dyDescent="0.25">
      <c r="A28" s="115"/>
      <c r="B28" s="43">
        <v>44378</v>
      </c>
      <c r="C28" s="7">
        <f>IF($B$6="Product A",'Actual Demand Database'!C20,IF($B$6="Product B",'Actual Demand Database'!D20,IF($B$6="Product C",'Actual Demand Database'!E20,IF($B$6="Product D",'Actual Demand Database'!F20,"N/A"))))</f>
        <v>41</v>
      </c>
      <c r="D28" s="1">
        <f t="shared" si="0"/>
        <v>60</v>
      </c>
      <c r="E28" s="117"/>
      <c r="F28" s="1">
        <f t="shared" si="1"/>
        <v>-19</v>
      </c>
      <c r="G28" s="1">
        <f t="shared" si="2"/>
        <v>19</v>
      </c>
      <c r="H28" s="1">
        <f t="shared" si="3"/>
        <v>361</v>
      </c>
      <c r="I28" s="20">
        <f t="shared" si="4"/>
        <v>0.46341463414634149</v>
      </c>
    </row>
    <row r="29" spans="1:9" x14ac:dyDescent="0.25">
      <c r="A29" s="115"/>
      <c r="B29" s="43">
        <v>44409</v>
      </c>
      <c r="C29" s="7">
        <f>IF($B$6="Product A",'Actual Demand Database'!C21,IF($B$6="Product B",'Actual Demand Database'!D21,IF($B$6="Product C",'Actual Demand Database'!E21,IF($B$6="Product D",'Actual Demand Database'!F21,"N/A"))))</f>
        <v>3</v>
      </c>
      <c r="D29" s="1">
        <f t="shared" si="0"/>
        <v>41</v>
      </c>
      <c r="E29" s="117"/>
      <c r="F29" s="1">
        <f t="shared" si="1"/>
        <v>-38</v>
      </c>
      <c r="G29" s="1">
        <f t="shared" si="2"/>
        <v>38</v>
      </c>
      <c r="H29" s="1">
        <f t="shared" si="3"/>
        <v>1444</v>
      </c>
      <c r="I29" s="20">
        <f t="shared" si="4"/>
        <v>12.666666666666666</v>
      </c>
    </row>
    <row r="30" spans="1:9" x14ac:dyDescent="0.25">
      <c r="A30" s="115"/>
      <c r="B30" s="43">
        <v>44440</v>
      </c>
      <c r="C30" s="7">
        <f>IF($B$6="Product A",'Actual Demand Database'!C22,IF($B$6="Product B",'Actual Demand Database'!D22,IF($B$6="Product C",'Actual Demand Database'!E22,IF($B$6="Product D",'Actual Demand Database'!F22,"N/A"))))</f>
        <v>9</v>
      </c>
      <c r="D30" s="1">
        <f t="shared" si="0"/>
        <v>3</v>
      </c>
      <c r="E30" s="117"/>
      <c r="F30" s="1">
        <f t="shared" si="1"/>
        <v>6</v>
      </c>
      <c r="G30" s="1">
        <f t="shared" si="2"/>
        <v>6</v>
      </c>
      <c r="H30" s="1">
        <f t="shared" si="3"/>
        <v>36</v>
      </c>
      <c r="I30" s="20">
        <f t="shared" si="4"/>
        <v>0.66666666666666663</v>
      </c>
    </row>
    <row r="31" spans="1:9" x14ac:dyDescent="0.25">
      <c r="A31" s="115"/>
      <c r="B31" s="43">
        <v>44470</v>
      </c>
      <c r="C31" s="7">
        <f>IF($B$6="Product A",'Actual Demand Database'!C23,IF($B$6="Product B",'Actual Demand Database'!D23,IF($B$6="Product C",'Actual Demand Database'!E23,IF($B$6="Product D",'Actual Demand Database'!F23,"N/A"))))</f>
        <v>30</v>
      </c>
      <c r="D31" s="1">
        <f t="shared" si="0"/>
        <v>9</v>
      </c>
      <c r="E31" s="117"/>
      <c r="F31" s="1">
        <f t="shared" si="1"/>
        <v>21</v>
      </c>
      <c r="G31" s="1">
        <f t="shared" si="2"/>
        <v>21</v>
      </c>
      <c r="H31" s="1">
        <f t="shared" si="3"/>
        <v>441</v>
      </c>
      <c r="I31" s="20">
        <f t="shared" si="4"/>
        <v>0.7</v>
      </c>
    </row>
    <row r="32" spans="1:9" x14ac:dyDescent="0.25">
      <c r="A32" s="115"/>
      <c r="B32" s="43">
        <v>44501</v>
      </c>
      <c r="C32" s="7">
        <f>IF($B$6="Product A",'Actual Demand Database'!C24,IF($B$6="Product B",'Actual Demand Database'!D24,IF($B$6="Product C",'Actual Demand Database'!E24,IF($B$6="Product D",'Actual Demand Database'!F24,"N/A"))))</f>
        <v>31</v>
      </c>
      <c r="D32" s="1">
        <f t="shared" si="0"/>
        <v>30</v>
      </c>
      <c r="E32" s="117"/>
      <c r="F32" s="1">
        <f t="shared" si="1"/>
        <v>1</v>
      </c>
      <c r="G32" s="1">
        <f t="shared" si="2"/>
        <v>1</v>
      </c>
      <c r="H32" s="1">
        <f t="shared" si="3"/>
        <v>1</v>
      </c>
      <c r="I32" s="20">
        <f t="shared" si="4"/>
        <v>3.2258064516129031E-2</v>
      </c>
    </row>
    <row r="33" spans="1:9" x14ac:dyDescent="0.25">
      <c r="A33" s="115"/>
      <c r="B33" s="43">
        <v>44531</v>
      </c>
      <c r="C33" s="7">
        <f>IF($B$6="Product A",'Actual Demand Database'!C25,IF($B$6="Product B",'Actual Demand Database'!D25,IF($B$6="Product C",'Actual Demand Database'!E25,IF($B$6="Product D",'Actual Demand Database'!F25,"N/A"))))</f>
        <v>35</v>
      </c>
      <c r="D33" s="1">
        <f t="shared" si="0"/>
        <v>31</v>
      </c>
      <c r="E33" s="117"/>
      <c r="F33" s="1">
        <f t="shared" si="1"/>
        <v>4</v>
      </c>
      <c r="G33" s="1">
        <f t="shared" si="2"/>
        <v>4</v>
      </c>
      <c r="H33" s="1">
        <f t="shared" si="3"/>
        <v>16</v>
      </c>
      <c r="I33" s="20">
        <f t="shared" si="4"/>
        <v>0.11428571428571428</v>
      </c>
    </row>
    <row r="34" spans="1:9" x14ac:dyDescent="0.25">
      <c r="A34" s="115">
        <v>2022</v>
      </c>
      <c r="B34" s="43">
        <v>44562</v>
      </c>
      <c r="C34" s="7">
        <f>IF($B$6="Product A",'Actual Demand Database'!C26,IF($B$6="Product B",'Actual Demand Database'!D26,IF($B$6="Product C",'Actual Demand Database'!E26,IF($B$6="Product D",'Actual Demand Database'!F26,"N/A"))))</f>
        <v>33</v>
      </c>
      <c r="D34" s="1">
        <f t="shared" si="0"/>
        <v>35</v>
      </c>
      <c r="E34" s="117"/>
      <c r="F34" s="1">
        <f t="shared" si="1"/>
        <v>-2</v>
      </c>
      <c r="G34" s="1">
        <f t="shared" si="2"/>
        <v>2</v>
      </c>
      <c r="H34" s="1">
        <f t="shared" si="3"/>
        <v>4</v>
      </c>
      <c r="I34" s="20">
        <f t="shared" si="4"/>
        <v>6.0606060606060608E-2</v>
      </c>
    </row>
    <row r="35" spans="1:9" x14ac:dyDescent="0.25">
      <c r="A35" s="115"/>
      <c r="B35" s="43">
        <v>44593</v>
      </c>
      <c r="C35" s="7">
        <f>IF($B$6="Product A",'Actual Demand Database'!C27,IF($B$6="Product B",'Actual Demand Database'!D27,IF($B$6="Product C",'Actual Demand Database'!E27,IF($B$6="Product D",'Actual Demand Database'!F27,"N/A"))))</f>
        <v>1</v>
      </c>
      <c r="D35" s="1">
        <f t="shared" si="0"/>
        <v>33</v>
      </c>
      <c r="E35" s="117"/>
      <c r="F35" s="1">
        <f t="shared" si="1"/>
        <v>-32</v>
      </c>
      <c r="G35" s="1">
        <f t="shared" si="2"/>
        <v>32</v>
      </c>
      <c r="H35" s="1">
        <f t="shared" si="3"/>
        <v>1024</v>
      </c>
      <c r="I35" s="20">
        <f t="shared" si="4"/>
        <v>32</v>
      </c>
    </row>
    <row r="36" spans="1:9" x14ac:dyDescent="0.25">
      <c r="A36" s="115"/>
      <c r="B36" s="43">
        <v>44621</v>
      </c>
      <c r="C36" s="7">
        <f>IF($B$6="Product A",'Actual Demand Database'!C28,IF($B$6="Product B",'Actual Demand Database'!D28,IF($B$6="Product C",'Actual Demand Database'!E28,IF($B$6="Product D",'Actual Demand Database'!F28,"N/A"))))</f>
        <v>43</v>
      </c>
      <c r="D36" s="1">
        <f t="shared" si="0"/>
        <v>1</v>
      </c>
      <c r="E36" s="117"/>
      <c r="F36" s="1">
        <f t="shared" si="1"/>
        <v>42</v>
      </c>
      <c r="G36" s="1">
        <f t="shared" si="2"/>
        <v>42</v>
      </c>
      <c r="H36" s="1">
        <f t="shared" si="3"/>
        <v>1764</v>
      </c>
      <c r="I36" s="20">
        <f t="shared" si="4"/>
        <v>0.97674418604651159</v>
      </c>
    </row>
    <row r="37" spans="1:9" x14ac:dyDescent="0.25">
      <c r="A37" s="115"/>
      <c r="B37" s="43">
        <v>44652</v>
      </c>
      <c r="C37" s="7">
        <f>IF($B$6="Product A",'Actual Demand Database'!C29,IF($B$6="Product B",'Actual Demand Database'!D29,IF($B$6="Product C",'Actual Demand Database'!E29,IF($B$6="Product D",'Actual Demand Database'!F29,"N/A"))))</f>
        <v>32</v>
      </c>
      <c r="D37" s="1">
        <f t="shared" si="0"/>
        <v>43</v>
      </c>
      <c r="E37" s="117"/>
      <c r="F37" s="1">
        <f t="shared" si="1"/>
        <v>-11</v>
      </c>
      <c r="G37" s="1">
        <f t="shared" si="2"/>
        <v>11</v>
      </c>
      <c r="H37" s="1">
        <f t="shared" si="3"/>
        <v>121</v>
      </c>
      <c r="I37" s="20">
        <f t="shared" si="4"/>
        <v>0.34375</v>
      </c>
    </row>
    <row r="38" spans="1:9" ht="15.75" thickBot="1" x14ac:dyDescent="0.3">
      <c r="A38" s="115"/>
      <c r="B38" s="43">
        <v>44682</v>
      </c>
      <c r="C38" s="8">
        <f>IF($B$6="Product A",'Actual Demand Database'!C30,IF($B$6="Product B",'Actual Demand Database'!D30,IF($B$6="Product C",'Actual Demand Database'!E30,IF($B$6="Product D",'Actual Demand Database'!F30,"N/A"))))</f>
        <v>4</v>
      </c>
      <c r="D38" s="5">
        <f t="shared" si="0"/>
        <v>32</v>
      </c>
      <c r="E38" s="118"/>
      <c r="F38" s="5">
        <f t="shared" si="1"/>
        <v>-28</v>
      </c>
      <c r="G38" s="5">
        <f t="shared" si="2"/>
        <v>28</v>
      </c>
      <c r="H38" s="5">
        <f t="shared" si="3"/>
        <v>784</v>
      </c>
      <c r="I38" s="30">
        <f t="shared" si="4"/>
        <v>7</v>
      </c>
    </row>
    <row r="39" spans="1:9" x14ac:dyDescent="0.25">
      <c r="A39" s="115"/>
      <c r="B39" s="43">
        <v>44713</v>
      </c>
      <c r="C39" s="27">
        <f>IF($B$6="Product A",'Actual Demand Database'!C31,IF($B$6="Product B",'Actual Demand Database'!D31,IF($B$6="Product C",'Actual Demand Database'!E31,IF($B$6="Product D",'Actual Demand Database'!F31,"N/A"))))</f>
        <v>4</v>
      </c>
      <c r="D39" s="26">
        <f t="shared" si="0"/>
        <v>4</v>
      </c>
      <c r="E39" s="28">
        <f>C38</f>
        <v>4</v>
      </c>
      <c r="F39" s="28">
        <f>C39-E39</f>
        <v>0</v>
      </c>
      <c r="G39" s="28">
        <f t="shared" si="2"/>
        <v>0</v>
      </c>
      <c r="H39" s="28">
        <f t="shared" si="3"/>
        <v>0</v>
      </c>
      <c r="I39" s="29">
        <f t="shared" si="4"/>
        <v>0</v>
      </c>
    </row>
    <row r="40" spans="1:9" x14ac:dyDescent="0.25">
      <c r="A40" s="115"/>
      <c r="B40" s="43">
        <v>44743</v>
      </c>
      <c r="C40" s="13">
        <f>IF($B$6="Product A",'Actual Demand Database'!C32,IF($B$6="Product B",'Actual Demand Database'!D32,IF($B$6="Product C",'Actual Demand Database'!E32,IF($B$6="Product D",'Actual Demand Database'!F32,"N/A"))))</f>
        <v>36</v>
      </c>
      <c r="D40" s="1">
        <f t="shared" si="0"/>
        <v>4</v>
      </c>
      <c r="E40" s="6">
        <f>E39</f>
        <v>4</v>
      </c>
      <c r="F40" s="6">
        <f t="shared" ref="F40:F45" si="5">C40-E40</f>
        <v>32</v>
      </c>
      <c r="G40" s="6">
        <f t="shared" si="2"/>
        <v>32</v>
      </c>
      <c r="H40" s="6">
        <f t="shared" si="3"/>
        <v>1024</v>
      </c>
      <c r="I40" s="21">
        <f t="shared" si="4"/>
        <v>0.88888888888888884</v>
      </c>
    </row>
    <row r="41" spans="1:9" x14ac:dyDescent="0.25">
      <c r="A41" s="115"/>
      <c r="B41" s="43">
        <v>44774</v>
      </c>
      <c r="C41" s="13">
        <f>IF($B$6="Product A",'Actual Demand Database'!C33,IF($B$6="Product B",'Actual Demand Database'!D33,IF($B$6="Product C",'Actual Demand Database'!E33,IF($B$6="Product D",'Actual Demand Database'!F33,"N/A"))))</f>
        <v>39</v>
      </c>
      <c r="D41" s="1">
        <f t="shared" si="0"/>
        <v>36</v>
      </c>
      <c r="E41" s="6">
        <f t="shared" ref="E41:E45" si="6">E40</f>
        <v>4</v>
      </c>
      <c r="F41" s="6">
        <f t="shared" si="5"/>
        <v>35</v>
      </c>
      <c r="G41" s="6">
        <f t="shared" si="2"/>
        <v>35</v>
      </c>
      <c r="H41" s="6">
        <f t="shared" si="3"/>
        <v>1225</v>
      </c>
      <c r="I41" s="21">
        <f t="shared" si="4"/>
        <v>0.89743589743589747</v>
      </c>
    </row>
    <row r="42" spans="1:9" x14ac:dyDescent="0.25">
      <c r="A42" s="115"/>
      <c r="B42" s="43">
        <v>44805</v>
      </c>
      <c r="C42" s="13">
        <f>IF($B$6="Product A",'Actual Demand Database'!C34,IF($B$6="Product B",'Actual Demand Database'!D34,IF($B$6="Product C",'Actual Demand Database'!E34,IF($B$6="Product D",'Actual Demand Database'!F34,"N/A"))))</f>
        <v>60</v>
      </c>
      <c r="D42" s="1">
        <f t="shared" si="0"/>
        <v>39</v>
      </c>
      <c r="E42" s="6">
        <f t="shared" si="6"/>
        <v>4</v>
      </c>
      <c r="F42" s="6">
        <f t="shared" si="5"/>
        <v>56</v>
      </c>
      <c r="G42" s="6">
        <f t="shared" si="2"/>
        <v>56</v>
      </c>
      <c r="H42" s="6">
        <f t="shared" si="3"/>
        <v>3136</v>
      </c>
      <c r="I42" s="21">
        <f t="shared" si="4"/>
        <v>0.93333333333333335</v>
      </c>
    </row>
    <row r="43" spans="1:9" x14ac:dyDescent="0.25">
      <c r="A43" s="115"/>
      <c r="B43" s="43">
        <v>44835</v>
      </c>
      <c r="C43" s="13">
        <f>IF($B$6="Product A",'Actual Demand Database'!C35,IF($B$6="Product B",'Actual Demand Database'!D35,IF($B$6="Product C",'Actual Demand Database'!E35,IF($B$6="Product D",'Actual Demand Database'!F35,"N/A"))))</f>
        <v>12</v>
      </c>
      <c r="D43" s="1">
        <f t="shared" si="0"/>
        <v>60</v>
      </c>
      <c r="E43" s="6">
        <f t="shared" si="6"/>
        <v>4</v>
      </c>
      <c r="F43" s="6">
        <f t="shared" si="5"/>
        <v>8</v>
      </c>
      <c r="G43" s="6">
        <f t="shared" si="2"/>
        <v>8</v>
      </c>
      <c r="H43" s="6">
        <f t="shared" si="3"/>
        <v>64</v>
      </c>
      <c r="I43" s="21">
        <f t="shared" si="4"/>
        <v>0.66666666666666663</v>
      </c>
    </row>
    <row r="44" spans="1:9" x14ac:dyDescent="0.25">
      <c r="A44" s="115"/>
      <c r="B44" s="43">
        <v>44866</v>
      </c>
      <c r="C44" s="13">
        <f>IF($B$6="Product A",'Actual Demand Database'!C36,IF($B$6="Product B",'Actual Demand Database'!D36,IF($B$6="Product C",'Actual Demand Database'!E36,IF($B$6="Product D",'Actual Demand Database'!F36,"N/A"))))</f>
        <v>4</v>
      </c>
      <c r="D44" s="1">
        <f t="shared" si="0"/>
        <v>12</v>
      </c>
      <c r="E44" s="6">
        <f t="shared" si="6"/>
        <v>4</v>
      </c>
      <c r="F44" s="6">
        <f t="shared" si="5"/>
        <v>0</v>
      </c>
      <c r="G44" s="6">
        <f t="shared" si="2"/>
        <v>0</v>
      </c>
      <c r="H44" s="6">
        <f t="shared" si="3"/>
        <v>0</v>
      </c>
      <c r="I44" s="21">
        <f t="shared" si="4"/>
        <v>0</v>
      </c>
    </row>
    <row r="45" spans="1:9" x14ac:dyDescent="0.25">
      <c r="A45" s="115"/>
      <c r="B45" s="43">
        <v>44896</v>
      </c>
      <c r="C45" s="13">
        <f>IF($B$6="Product A",'Actual Demand Database'!C37,IF($B$6="Product B",'Actual Demand Database'!D37,IF($B$6="Product C",'Actual Demand Database'!E37,IF($B$6="Product D",'Actual Demand Database'!F37,"N/A"))))</f>
        <v>2</v>
      </c>
      <c r="D45" s="1">
        <f t="shared" si="0"/>
        <v>4</v>
      </c>
      <c r="E45" s="6">
        <f t="shared" si="6"/>
        <v>4</v>
      </c>
      <c r="F45" s="6">
        <f t="shared" si="5"/>
        <v>-2</v>
      </c>
      <c r="G45" s="6">
        <f t="shared" si="2"/>
        <v>2</v>
      </c>
      <c r="H45" s="6">
        <f t="shared" si="3"/>
        <v>4</v>
      </c>
      <c r="I45" s="21">
        <f t="shared" si="4"/>
        <v>1</v>
      </c>
    </row>
    <row r="46" spans="1:9" ht="21.75" thickBot="1" x14ac:dyDescent="0.4">
      <c r="A46" s="9">
        <v>2023</v>
      </c>
      <c r="B46" s="43">
        <v>44927</v>
      </c>
      <c r="C46" s="11"/>
      <c r="D46" s="25">
        <f t="shared" si="0"/>
        <v>2</v>
      </c>
      <c r="E46" s="10"/>
      <c r="F46" s="10"/>
      <c r="G46" s="10"/>
      <c r="H46" s="10"/>
      <c r="I46" s="12"/>
    </row>
  </sheetData>
  <mergeCells count="5">
    <mergeCell ref="A1:V1"/>
    <mergeCell ref="A10:A21"/>
    <mergeCell ref="A22:A33"/>
    <mergeCell ref="A34:A45"/>
    <mergeCell ref="E10:E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6D59B3-CBC1-4469-8E38-532B685DF45B}">
          <x14:formula1>
            <xm:f>'Actual Demand Database'!$C$1:$F$1</xm:f>
          </x14:formula1>
          <xm:sqref>A1:V1 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1631-44FD-4361-8E36-BF3E40B4458E}">
  <dimension ref="A1:V46"/>
  <sheetViews>
    <sheetView zoomScale="80" zoomScaleNormal="80" workbookViewId="0">
      <selection activeCell="B6" sqref="B6"/>
    </sheetView>
  </sheetViews>
  <sheetFormatPr defaultRowHeight="15" x14ac:dyDescent="0.25"/>
  <cols>
    <col min="1" max="1" width="12.42578125" bestFit="1" customWidth="1"/>
    <col min="2" max="2" width="15.5703125" bestFit="1" customWidth="1"/>
    <col min="3" max="3" width="16.7109375" bestFit="1" customWidth="1"/>
    <col min="4" max="4" width="14" bestFit="1" customWidth="1"/>
    <col min="5" max="5" width="15.85546875" bestFit="1" customWidth="1"/>
    <col min="6" max="6" width="5.28515625" bestFit="1" customWidth="1"/>
    <col min="7" max="7" width="13.85546875" bestFit="1" customWidth="1"/>
    <col min="8" max="8" width="13.140625" bestFit="1" customWidth="1"/>
    <col min="9" max="9" width="17.28515625" bestFit="1" customWidth="1"/>
    <col min="10" max="10" width="46" bestFit="1" customWidth="1"/>
    <col min="11" max="11" width="32.28515625" bestFit="1" customWidth="1"/>
  </cols>
  <sheetData>
    <row r="1" spans="1:22" s="14" customFormat="1" ht="21.75" thickBot="1" x14ac:dyDescent="0.4">
      <c r="A1" s="114" t="s">
        <v>19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</row>
    <row r="2" spans="1:22" ht="15.75" thickBot="1" x14ac:dyDescent="0.3">
      <c r="A2" s="15" t="s">
        <v>7</v>
      </c>
      <c r="B2" s="16">
        <f>AVERAGE(G10:G45)</f>
        <v>17.814495612896522</v>
      </c>
      <c r="D2" s="33" t="s">
        <v>20</v>
      </c>
      <c r="E2" s="34">
        <v>1</v>
      </c>
      <c r="F2" s="34">
        <v>2</v>
      </c>
      <c r="G2" s="35" t="s">
        <v>21</v>
      </c>
    </row>
    <row r="3" spans="1:22" ht="19.5" thickBot="1" x14ac:dyDescent="0.35">
      <c r="A3" s="2" t="s">
        <v>8</v>
      </c>
      <c r="B3" s="3">
        <f>AVERAGE(H39:H45)</f>
        <v>709.4704324801412</v>
      </c>
      <c r="D3" s="36" t="s">
        <v>22</v>
      </c>
      <c r="E3" s="37">
        <v>0.36716681376875476</v>
      </c>
      <c r="F3" s="37">
        <v>0.63283318623124529</v>
      </c>
      <c r="G3" s="38">
        <f>SUM(E3:F3)</f>
        <v>1</v>
      </c>
      <c r="J3" s="81" t="s">
        <v>70</v>
      </c>
      <c r="K3" s="83">
        <f>'Measures of Errors'!B1</f>
        <v>17.022520359964297</v>
      </c>
    </row>
    <row r="4" spans="1:22" ht="19.5" thickBot="1" x14ac:dyDescent="0.35">
      <c r="A4" s="17" t="s">
        <v>9</v>
      </c>
      <c r="B4" s="41">
        <f>AVERAGE(I39:I45)</f>
        <v>7.0456080775872403</v>
      </c>
      <c r="J4" s="82" t="s">
        <v>69</v>
      </c>
      <c r="K4" s="85" t="str">
        <f>'Measures of Errors'!B2</f>
        <v>Exponential Smoothing</v>
      </c>
    </row>
    <row r="5" spans="1:22" ht="15.75" thickBot="1" x14ac:dyDescent="0.3"/>
    <row r="6" spans="1:22" ht="24" thickBot="1" x14ac:dyDescent="0.4">
      <c r="A6" s="31" t="s">
        <v>10</v>
      </c>
      <c r="B6" s="32" t="s">
        <v>4</v>
      </c>
    </row>
    <row r="8" spans="1:22" ht="15.75" thickBot="1" x14ac:dyDescent="0.3"/>
    <row r="9" spans="1:22" x14ac:dyDescent="0.25">
      <c r="A9" s="22" t="s">
        <v>0</v>
      </c>
      <c r="B9" s="23" t="s">
        <v>11</v>
      </c>
      <c r="C9" s="23" t="s">
        <v>17</v>
      </c>
      <c r="D9" s="23" t="s">
        <v>18</v>
      </c>
      <c r="E9" s="23" t="s">
        <v>16</v>
      </c>
      <c r="F9" s="23" t="s">
        <v>12</v>
      </c>
      <c r="G9" s="23" t="s">
        <v>13</v>
      </c>
      <c r="H9" s="23" t="s">
        <v>14</v>
      </c>
      <c r="I9" s="24" t="s">
        <v>15</v>
      </c>
    </row>
    <row r="10" spans="1:22" x14ac:dyDescent="0.25">
      <c r="A10" s="115">
        <v>2020</v>
      </c>
      <c r="B10" s="43">
        <f>'Naive Forecasts'!B10</f>
        <v>43831</v>
      </c>
      <c r="C10" s="7">
        <f>IF($B$6="Product A",'Actual Demand Database'!C2,IF($B$6="Product B",'Actual Demand Database'!D2,IF($B$6="Product C",'Actual Demand Database'!E2,IF($B$6="Product D",'Actual Demand Database'!F2,"N/A"))))</f>
        <v>6</v>
      </c>
      <c r="D10" s="1"/>
      <c r="E10" s="116"/>
      <c r="F10" s="1"/>
      <c r="G10" s="1"/>
      <c r="H10" s="1"/>
      <c r="I10" s="3"/>
    </row>
    <row r="11" spans="1:22" x14ac:dyDescent="0.25">
      <c r="A11" s="115"/>
      <c r="B11" s="43">
        <f>'Naive Forecasts'!B11</f>
        <v>43862</v>
      </c>
      <c r="C11" s="7">
        <f>IF($B$6="Product A",'Actual Demand Database'!C3,IF($B$6="Product B",'Actual Demand Database'!D3,IF($B$6="Product C",'Actual Demand Database'!E3,IF($B$6="Product D",'Actual Demand Database'!F3,"N/A"))))</f>
        <v>6</v>
      </c>
      <c r="D11" s="1"/>
      <c r="E11" s="117"/>
      <c r="F11" s="1"/>
      <c r="G11" s="1"/>
      <c r="H11" s="1"/>
      <c r="I11" s="20"/>
    </row>
    <row r="12" spans="1:22" x14ac:dyDescent="0.25">
      <c r="A12" s="115"/>
      <c r="B12" s="43">
        <f>'Naive Forecasts'!B12</f>
        <v>43891</v>
      </c>
      <c r="C12" s="7">
        <f>IF($B$6="Product A",'Actual Demand Database'!C4,IF($B$6="Product B",'Actual Demand Database'!D4,IF($B$6="Product C",'Actual Demand Database'!E4,IF($B$6="Product D",'Actual Demand Database'!F4,"N/A"))))</f>
        <v>14</v>
      </c>
      <c r="D12" s="1">
        <f>($E$3*C10)+($F$3*C11)</f>
        <v>6</v>
      </c>
      <c r="E12" s="117"/>
      <c r="F12" s="1">
        <f t="shared" ref="F12:F45" si="0">C12-D12</f>
        <v>8</v>
      </c>
      <c r="G12" s="1">
        <f t="shared" ref="G12:G45" si="1">ABS(F12)</f>
        <v>8</v>
      </c>
      <c r="H12" s="1">
        <f t="shared" ref="H12:H44" si="2">F12^2</f>
        <v>64</v>
      </c>
      <c r="I12" s="20">
        <f t="shared" ref="I12:I44" si="3">(G12/C12)</f>
        <v>0.5714285714285714</v>
      </c>
    </row>
    <row r="13" spans="1:22" x14ac:dyDescent="0.25">
      <c r="A13" s="115"/>
      <c r="B13" s="43">
        <f>'Naive Forecasts'!B13</f>
        <v>43922</v>
      </c>
      <c r="C13" s="7">
        <f>IF($B$6="Product A",'Actual Demand Database'!C5,IF($B$6="Product B",'Actual Demand Database'!D5,IF($B$6="Product C",'Actual Demand Database'!E5,IF($B$6="Product D",'Actual Demand Database'!F5,"N/A"))))</f>
        <v>42</v>
      </c>
      <c r="D13" s="1">
        <f t="shared" ref="D13:D46" si="4">($E$3*C11)+($F$3*C12)</f>
        <v>11.062665489849962</v>
      </c>
      <c r="E13" s="117"/>
      <c r="F13" s="1">
        <f t="shared" si="0"/>
        <v>30.937334510150038</v>
      </c>
      <c r="G13" s="1">
        <f t="shared" si="1"/>
        <v>30.937334510150038</v>
      </c>
      <c r="H13" s="1">
        <f t="shared" si="2"/>
        <v>957.11866659292048</v>
      </c>
      <c r="I13" s="20">
        <f t="shared" si="3"/>
        <v>0.73660320262261991</v>
      </c>
    </row>
    <row r="14" spans="1:22" x14ac:dyDescent="0.25">
      <c r="A14" s="115"/>
      <c r="B14" s="43">
        <f>'Naive Forecasts'!B14</f>
        <v>43952</v>
      </c>
      <c r="C14" s="7">
        <f>IF($B$6="Product A",'Actual Demand Database'!C6,IF($B$6="Product B",'Actual Demand Database'!D6,IF($B$6="Product C",'Actual Demand Database'!E6,IF($B$6="Product D",'Actual Demand Database'!F6,"N/A"))))</f>
        <v>18</v>
      </c>
      <c r="D14" s="1">
        <f t="shared" si="4"/>
        <v>31.719329214474868</v>
      </c>
      <c r="E14" s="117"/>
      <c r="F14" s="1">
        <f t="shared" si="0"/>
        <v>-13.719329214474868</v>
      </c>
      <c r="G14" s="1">
        <f t="shared" si="1"/>
        <v>13.719329214474868</v>
      </c>
      <c r="H14" s="1">
        <f t="shared" si="2"/>
        <v>188.21999409514359</v>
      </c>
      <c r="I14" s="20">
        <f t="shared" si="3"/>
        <v>0.76218495635971495</v>
      </c>
    </row>
    <row r="15" spans="1:22" x14ac:dyDescent="0.25">
      <c r="A15" s="115"/>
      <c r="B15" s="43">
        <f>'Naive Forecasts'!B15</f>
        <v>43983</v>
      </c>
      <c r="C15" s="7">
        <f>IF($B$6="Product A",'Actual Demand Database'!C7,IF($B$6="Product B",'Actual Demand Database'!D7,IF($B$6="Product C",'Actual Demand Database'!E7,IF($B$6="Product D",'Actual Demand Database'!F7,"N/A"))))</f>
        <v>19</v>
      </c>
      <c r="D15" s="1">
        <f t="shared" si="4"/>
        <v>26.812003530450113</v>
      </c>
      <c r="E15" s="117"/>
      <c r="F15" s="1">
        <f t="shared" si="0"/>
        <v>-7.812003530450113</v>
      </c>
      <c r="G15" s="1">
        <f t="shared" si="1"/>
        <v>7.812003530450113</v>
      </c>
      <c r="H15" s="1">
        <f t="shared" si="2"/>
        <v>61.027399159765032</v>
      </c>
      <c r="I15" s="20">
        <f t="shared" si="3"/>
        <v>0.41115808055000597</v>
      </c>
    </row>
    <row r="16" spans="1:22" x14ac:dyDescent="0.25">
      <c r="A16" s="115"/>
      <c r="B16" s="43">
        <f>'Naive Forecasts'!B16</f>
        <v>44013</v>
      </c>
      <c r="C16" s="7">
        <f>IF($B$6="Product A",'Actual Demand Database'!C8,IF($B$6="Product B",'Actual Demand Database'!D8,IF($B$6="Product C",'Actual Demand Database'!E8,IF($B$6="Product D",'Actual Demand Database'!F8,"N/A"))))</f>
        <v>28</v>
      </c>
      <c r="D16" s="1">
        <f t="shared" si="4"/>
        <v>18.632833186231245</v>
      </c>
      <c r="E16" s="117"/>
      <c r="F16" s="1">
        <f t="shared" si="0"/>
        <v>9.3671668137687547</v>
      </c>
      <c r="G16" s="1">
        <f t="shared" si="1"/>
        <v>9.3671668137687547</v>
      </c>
      <c r="H16" s="1">
        <f t="shared" si="2"/>
        <v>87.743814116970682</v>
      </c>
      <c r="I16" s="20">
        <f t="shared" si="3"/>
        <v>0.33454167192031264</v>
      </c>
    </row>
    <row r="17" spans="1:9" x14ac:dyDescent="0.25">
      <c r="A17" s="115"/>
      <c r="B17" s="43">
        <f>'Naive Forecasts'!B17</f>
        <v>44044</v>
      </c>
      <c r="C17" s="7">
        <f>IF($B$6="Product A",'Actual Demand Database'!C9,IF($B$6="Product B",'Actual Demand Database'!D9,IF($B$6="Product C",'Actual Demand Database'!E9,IF($B$6="Product D",'Actual Demand Database'!F9,"N/A"))))</f>
        <v>54</v>
      </c>
      <c r="D17" s="1">
        <f t="shared" si="4"/>
        <v>24.695498676081208</v>
      </c>
      <c r="E17" s="117"/>
      <c r="F17" s="1">
        <f t="shared" si="0"/>
        <v>29.304501323918792</v>
      </c>
      <c r="G17" s="1">
        <f t="shared" si="1"/>
        <v>29.304501323918792</v>
      </c>
      <c r="H17" s="1">
        <f t="shared" si="2"/>
        <v>858.75379784355823</v>
      </c>
      <c r="I17" s="20">
        <f t="shared" si="3"/>
        <v>0.54267595044294059</v>
      </c>
    </row>
    <row r="18" spans="1:9" x14ac:dyDescent="0.25">
      <c r="A18" s="115"/>
      <c r="B18" s="43">
        <f>'Naive Forecasts'!B18</f>
        <v>44075</v>
      </c>
      <c r="C18" s="7">
        <f>IF($B$6="Product A",'Actual Demand Database'!C10,IF($B$6="Product B",'Actual Demand Database'!D10,IF($B$6="Product C",'Actual Demand Database'!E10,IF($B$6="Product D",'Actual Demand Database'!F10,"N/A"))))</f>
        <v>2</v>
      </c>
      <c r="D18" s="1">
        <f t="shared" si="4"/>
        <v>44.453662842012378</v>
      </c>
      <c r="E18" s="117"/>
      <c r="F18" s="1">
        <f t="shared" si="0"/>
        <v>-42.453662842012378</v>
      </c>
      <c r="G18" s="1">
        <f t="shared" si="1"/>
        <v>42.453662842012378</v>
      </c>
      <c r="H18" s="1">
        <f t="shared" si="2"/>
        <v>1802.3134887032625</v>
      </c>
      <c r="I18" s="20">
        <f t="shared" si="3"/>
        <v>21.226831421006189</v>
      </c>
    </row>
    <row r="19" spans="1:9" x14ac:dyDescent="0.25">
      <c r="A19" s="115"/>
      <c r="B19" s="43">
        <f>'Naive Forecasts'!B19</f>
        <v>44105</v>
      </c>
      <c r="C19" s="7">
        <f>IF($B$6="Product A",'Actual Demand Database'!C11,IF($B$6="Product B",'Actual Demand Database'!D11,IF($B$6="Product C",'Actual Demand Database'!E11,IF($B$6="Product D",'Actual Demand Database'!F11,"N/A"))))</f>
        <v>9</v>
      </c>
      <c r="D19" s="1">
        <f t="shared" si="4"/>
        <v>21.092674315975248</v>
      </c>
      <c r="E19" s="117"/>
      <c r="F19" s="1">
        <f t="shared" si="0"/>
        <v>-12.092674315975248</v>
      </c>
      <c r="G19" s="1">
        <f t="shared" si="1"/>
        <v>12.092674315975248</v>
      </c>
      <c r="H19" s="1">
        <f t="shared" si="2"/>
        <v>146.23277211224743</v>
      </c>
      <c r="I19" s="20">
        <f t="shared" si="3"/>
        <v>1.3436304795528053</v>
      </c>
    </row>
    <row r="20" spans="1:9" x14ac:dyDescent="0.25">
      <c r="A20" s="115"/>
      <c r="B20" s="43">
        <f>'Naive Forecasts'!B20</f>
        <v>44136</v>
      </c>
      <c r="C20" s="7">
        <f>IF($B$6="Product A",'Actual Demand Database'!C12,IF($B$6="Product B",'Actual Demand Database'!D12,IF($B$6="Product C",'Actual Demand Database'!E12,IF($B$6="Product D",'Actual Demand Database'!F12,"N/A"))))</f>
        <v>57</v>
      </c>
      <c r="D20" s="1">
        <f t="shared" si="4"/>
        <v>6.429832303618717</v>
      </c>
      <c r="E20" s="117"/>
      <c r="F20" s="1">
        <f t="shared" si="0"/>
        <v>50.570167696381283</v>
      </c>
      <c r="G20" s="1">
        <f t="shared" si="1"/>
        <v>50.570167696381283</v>
      </c>
      <c r="H20" s="1">
        <f t="shared" si="2"/>
        <v>2557.3418608401248</v>
      </c>
      <c r="I20" s="20">
        <f t="shared" si="3"/>
        <v>0.88719592449791729</v>
      </c>
    </row>
    <row r="21" spans="1:9" x14ac:dyDescent="0.25">
      <c r="A21" s="115"/>
      <c r="B21" s="43">
        <f>'Naive Forecasts'!B21</f>
        <v>44166</v>
      </c>
      <c r="C21" s="7">
        <f>IF($B$6="Product A",'Actual Demand Database'!C13,IF($B$6="Product B",'Actual Demand Database'!D13,IF($B$6="Product C",'Actual Demand Database'!E13,IF($B$6="Product D",'Actual Demand Database'!F13,"N/A"))))</f>
        <v>40</v>
      </c>
      <c r="D21" s="1">
        <f t="shared" si="4"/>
        <v>39.375992939099774</v>
      </c>
      <c r="E21" s="117"/>
      <c r="F21" s="1">
        <f t="shared" si="0"/>
        <v>0.62400706090022595</v>
      </c>
      <c r="G21" s="1">
        <f t="shared" si="1"/>
        <v>0.62400706090022595</v>
      </c>
      <c r="H21" s="1">
        <f t="shared" si="2"/>
        <v>0.3893848120533383</v>
      </c>
      <c r="I21" s="20">
        <f t="shared" si="3"/>
        <v>1.5600176522505648E-2</v>
      </c>
    </row>
    <row r="22" spans="1:9" x14ac:dyDescent="0.25">
      <c r="A22" s="115">
        <v>2021</v>
      </c>
      <c r="B22" s="43">
        <f>'Naive Forecasts'!B22</f>
        <v>44197</v>
      </c>
      <c r="C22" s="7">
        <f>IF($B$6="Product A",'Actual Demand Database'!C14,IF($B$6="Product B",'Actual Demand Database'!D14,IF($B$6="Product C",'Actual Demand Database'!E14,IF($B$6="Product D",'Actual Demand Database'!F14,"N/A"))))</f>
        <v>4</v>
      </c>
      <c r="D22" s="1">
        <f t="shared" si="4"/>
        <v>46.241835834068837</v>
      </c>
      <c r="E22" s="117"/>
      <c r="F22" s="1">
        <f t="shared" si="0"/>
        <v>-42.241835834068837</v>
      </c>
      <c r="G22" s="1">
        <f t="shared" si="1"/>
        <v>42.241835834068837</v>
      </c>
      <c r="H22" s="1">
        <f t="shared" si="2"/>
        <v>1784.3726946324221</v>
      </c>
      <c r="I22" s="20">
        <f t="shared" si="3"/>
        <v>10.560458958517209</v>
      </c>
    </row>
    <row r="23" spans="1:9" x14ac:dyDescent="0.25">
      <c r="A23" s="115"/>
      <c r="B23" s="43">
        <f>'Naive Forecasts'!B23</f>
        <v>44228</v>
      </c>
      <c r="C23" s="7">
        <f>IF($B$6="Product A",'Actual Demand Database'!C15,IF($B$6="Product B",'Actual Demand Database'!D15,IF($B$6="Product C",'Actual Demand Database'!E15,IF($B$6="Product D",'Actual Demand Database'!F15,"N/A"))))</f>
        <v>54</v>
      </c>
      <c r="D23" s="1">
        <f t="shared" si="4"/>
        <v>17.218005295675169</v>
      </c>
      <c r="E23" s="117"/>
      <c r="F23" s="1">
        <f t="shared" si="0"/>
        <v>36.781994704324831</v>
      </c>
      <c r="G23" s="1">
        <f t="shared" si="1"/>
        <v>36.781994704324831</v>
      </c>
      <c r="H23" s="1">
        <f t="shared" si="2"/>
        <v>1352.9151344289799</v>
      </c>
      <c r="I23" s="20">
        <f t="shared" si="3"/>
        <v>0.6811480500800895</v>
      </c>
    </row>
    <row r="24" spans="1:9" x14ac:dyDescent="0.25">
      <c r="A24" s="115"/>
      <c r="B24" s="43">
        <f>'Naive Forecasts'!B24</f>
        <v>44256</v>
      </c>
      <c r="C24" s="7">
        <f>IF($B$6="Product A",'Actual Demand Database'!C16,IF($B$6="Product B",'Actual Demand Database'!D16,IF($B$6="Product C",'Actual Demand Database'!E16,IF($B$6="Product D",'Actual Demand Database'!F16,"N/A"))))</f>
        <v>46</v>
      </c>
      <c r="D24" s="1">
        <f t="shared" si="4"/>
        <v>35.641659311562265</v>
      </c>
      <c r="E24" s="117"/>
      <c r="F24" s="1">
        <f t="shared" si="0"/>
        <v>10.358340688437735</v>
      </c>
      <c r="G24" s="1">
        <f t="shared" si="1"/>
        <v>10.358340688437735</v>
      </c>
      <c r="H24" s="1">
        <f t="shared" si="2"/>
        <v>107.29522181774473</v>
      </c>
      <c r="I24" s="20">
        <f t="shared" si="3"/>
        <v>0.22518131931386381</v>
      </c>
    </row>
    <row r="25" spans="1:9" x14ac:dyDescent="0.25">
      <c r="A25" s="115"/>
      <c r="B25" s="43">
        <f>'Naive Forecasts'!B25</f>
        <v>44287</v>
      </c>
      <c r="C25" s="7">
        <f>IF($B$6="Product A",'Actual Demand Database'!C17,IF($B$6="Product B",'Actual Demand Database'!D17,IF($B$6="Product C",'Actual Demand Database'!E17,IF($B$6="Product D",'Actual Demand Database'!F17,"N/A"))))</f>
        <v>24</v>
      </c>
      <c r="D25" s="1">
        <f t="shared" si="4"/>
        <v>48.937334510150038</v>
      </c>
      <c r="E25" s="117"/>
      <c r="F25" s="1">
        <f t="shared" si="0"/>
        <v>-24.937334510150038</v>
      </c>
      <c r="G25" s="1">
        <f t="shared" si="1"/>
        <v>24.937334510150038</v>
      </c>
      <c r="H25" s="1">
        <f t="shared" si="2"/>
        <v>621.87065247112002</v>
      </c>
      <c r="I25" s="20">
        <f t="shared" si="3"/>
        <v>1.0390556045895849</v>
      </c>
    </row>
    <row r="26" spans="1:9" x14ac:dyDescent="0.25">
      <c r="A26" s="115"/>
      <c r="B26" s="43">
        <f>'Naive Forecasts'!B26</f>
        <v>44317</v>
      </c>
      <c r="C26" s="7">
        <f>IF($B$6="Product A",'Actual Demand Database'!C18,IF($B$6="Product B",'Actual Demand Database'!D18,IF($B$6="Product C",'Actual Demand Database'!E18,IF($B$6="Product D",'Actual Demand Database'!F18,"N/A"))))</f>
        <v>39</v>
      </c>
      <c r="D26" s="1">
        <f t="shared" si="4"/>
        <v>32.077669902912604</v>
      </c>
      <c r="E26" s="117"/>
      <c r="F26" s="1">
        <f t="shared" si="0"/>
        <v>6.9223300970873964</v>
      </c>
      <c r="G26" s="1">
        <f t="shared" si="1"/>
        <v>6.9223300970873964</v>
      </c>
      <c r="H26" s="1">
        <f t="shared" si="2"/>
        <v>47.918653973042005</v>
      </c>
      <c r="I26" s="20">
        <f t="shared" si="3"/>
        <v>0.17749564351506145</v>
      </c>
    </row>
    <row r="27" spans="1:9" x14ac:dyDescent="0.25">
      <c r="A27" s="115"/>
      <c r="B27" s="43">
        <f>'Naive Forecasts'!B27</f>
        <v>44348</v>
      </c>
      <c r="C27" s="7">
        <f>IF($B$6="Product A",'Actual Demand Database'!C19,IF($B$6="Product B",'Actual Demand Database'!D19,IF($B$6="Product C",'Actual Demand Database'!E19,IF($B$6="Product D",'Actual Demand Database'!F19,"N/A"))))</f>
        <v>25</v>
      </c>
      <c r="D27" s="1">
        <f t="shared" si="4"/>
        <v>33.492497793468679</v>
      </c>
      <c r="E27" s="117"/>
      <c r="F27" s="1">
        <f t="shared" si="0"/>
        <v>-8.4924977934686794</v>
      </c>
      <c r="G27" s="1">
        <f t="shared" si="1"/>
        <v>8.4924977934686794</v>
      </c>
      <c r="H27" s="1">
        <f t="shared" si="2"/>
        <v>72.122518772070393</v>
      </c>
      <c r="I27" s="20">
        <f t="shared" si="3"/>
        <v>0.3396999117387472</v>
      </c>
    </row>
    <row r="28" spans="1:9" x14ac:dyDescent="0.25">
      <c r="A28" s="115"/>
      <c r="B28" s="43">
        <f>'Naive Forecasts'!B28</f>
        <v>44378</v>
      </c>
      <c r="C28" s="7">
        <f>IF($B$6="Product A",'Actual Demand Database'!C20,IF($B$6="Product B",'Actual Demand Database'!D20,IF($B$6="Product C",'Actual Demand Database'!E20,IF($B$6="Product D",'Actual Demand Database'!F20,"N/A"))))</f>
        <v>40</v>
      </c>
      <c r="D28" s="1">
        <f t="shared" si="4"/>
        <v>30.140335392762566</v>
      </c>
      <c r="E28" s="117"/>
      <c r="F28" s="1">
        <f t="shared" si="0"/>
        <v>9.8596646072374341</v>
      </c>
      <c r="G28" s="1">
        <f t="shared" si="1"/>
        <v>9.8596646072374341</v>
      </c>
      <c r="H28" s="1">
        <f t="shared" si="2"/>
        <v>97.212986167210502</v>
      </c>
      <c r="I28" s="20">
        <f t="shared" si="3"/>
        <v>0.24649161518093585</v>
      </c>
    </row>
    <row r="29" spans="1:9" x14ac:dyDescent="0.25">
      <c r="A29" s="115"/>
      <c r="B29" s="43">
        <f>'Naive Forecasts'!B29</f>
        <v>44409</v>
      </c>
      <c r="C29" s="7">
        <f>IF($B$6="Product A",'Actual Demand Database'!C21,IF($B$6="Product B",'Actual Demand Database'!D21,IF($B$6="Product C",'Actual Demand Database'!E21,IF($B$6="Product D",'Actual Demand Database'!F21,"N/A"))))</f>
        <v>12</v>
      </c>
      <c r="D29" s="1">
        <f t="shared" si="4"/>
        <v>34.492497793468679</v>
      </c>
      <c r="E29" s="117"/>
      <c r="F29" s="1">
        <f t="shared" si="0"/>
        <v>-22.492497793468679</v>
      </c>
      <c r="G29" s="1">
        <f t="shared" si="1"/>
        <v>22.492497793468679</v>
      </c>
      <c r="H29" s="1">
        <f t="shared" si="2"/>
        <v>505.9124569891934</v>
      </c>
      <c r="I29" s="20">
        <f t="shared" si="3"/>
        <v>1.8743748161223899</v>
      </c>
    </row>
    <row r="30" spans="1:9" x14ac:dyDescent="0.25">
      <c r="A30" s="115"/>
      <c r="B30" s="43">
        <f>'Naive Forecasts'!B30</f>
        <v>44440</v>
      </c>
      <c r="C30" s="7">
        <f>IF($B$6="Product A",'Actual Demand Database'!C22,IF($B$6="Product B",'Actual Demand Database'!D22,IF($B$6="Product C",'Actual Demand Database'!E22,IF($B$6="Product D",'Actual Demand Database'!F22,"N/A"))))</f>
        <v>22</v>
      </c>
      <c r="D30" s="1">
        <f t="shared" si="4"/>
        <v>22.280670785525132</v>
      </c>
      <c r="E30" s="117"/>
      <c r="F30" s="1">
        <f t="shared" si="0"/>
        <v>-0.28067078552513181</v>
      </c>
      <c r="G30" s="1">
        <f t="shared" si="1"/>
        <v>0.28067078552513181</v>
      </c>
      <c r="H30" s="1">
        <f t="shared" si="2"/>
        <v>7.8776089847294534E-2</v>
      </c>
      <c r="I30" s="20">
        <f t="shared" si="3"/>
        <v>1.2757762978415082E-2</v>
      </c>
    </row>
    <row r="31" spans="1:9" x14ac:dyDescent="0.25">
      <c r="A31" s="115"/>
      <c r="B31" s="43">
        <f>'Naive Forecasts'!B31</f>
        <v>44470</v>
      </c>
      <c r="C31" s="7">
        <f>IF($B$6="Product A",'Actual Demand Database'!C23,IF($B$6="Product B",'Actual Demand Database'!D23,IF($B$6="Product C",'Actual Demand Database'!E23,IF($B$6="Product D",'Actual Demand Database'!F23,"N/A"))))</f>
        <v>4</v>
      </c>
      <c r="D31" s="1">
        <f t="shared" si="4"/>
        <v>18.328331862312453</v>
      </c>
      <c r="E31" s="117"/>
      <c r="F31" s="1">
        <f t="shared" si="0"/>
        <v>-14.328331862312453</v>
      </c>
      <c r="G31" s="1">
        <f t="shared" si="1"/>
        <v>14.328331862312453</v>
      </c>
      <c r="H31" s="1">
        <f t="shared" si="2"/>
        <v>205.30109395655825</v>
      </c>
      <c r="I31" s="20">
        <f t="shared" si="3"/>
        <v>3.5820829655781132</v>
      </c>
    </row>
    <row r="32" spans="1:9" x14ac:dyDescent="0.25">
      <c r="A32" s="115"/>
      <c r="B32" s="43">
        <f>'Naive Forecasts'!B32</f>
        <v>44501</v>
      </c>
      <c r="C32" s="7">
        <f>IF($B$6="Product A",'Actual Demand Database'!C24,IF($B$6="Product B",'Actual Demand Database'!D24,IF($B$6="Product C",'Actual Demand Database'!E24,IF($B$6="Product D",'Actual Demand Database'!F24,"N/A"))))</f>
        <v>13</v>
      </c>
      <c r="D32" s="1">
        <f t="shared" si="4"/>
        <v>10.609002647837587</v>
      </c>
      <c r="E32" s="117"/>
      <c r="F32" s="1">
        <f t="shared" si="0"/>
        <v>2.3909973521624135</v>
      </c>
      <c r="G32" s="1">
        <f t="shared" si="1"/>
        <v>2.3909973521624135</v>
      </c>
      <c r="H32" s="1">
        <f t="shared" si="2"/>
        <v>5.7168683380476724</v>
      </c>
      <c r="I32" s="20">
        <f t="shared" si="3"/>
        <v>0.18392287324326256</v>
      </c>
    </row>
    <row r="33" spans="1:9" x14ac:dyDescent="0.25">
      <c r="A33" s="115"/>
      <c r="B33" s="43">
        <f>'Naive Forecasts'!B33</f>
        <v>44531</v>
      </c>
      <c r="C33" s="7">
        <f>IF($B$6="Product A",'Actual Demand Database'!C25,IF($B$6="Product B",'Actual Demand Database'!D25,IF($B$6="Product C",'Actual Demand Database'!E25,IF($B$6="Product D",'Actual Demand Database'!F25,"N/A"))))</f>
        <v>13</v>
      </c>
      <c r="D33" s="1">
        <f t="shared" si="4"/>
        <v>9.6954986760812076</v>
      </c>
      <c r="E33" s="117"/>
      <c r="F33" s="1">
        <f t="shared" si="0"/>
        <v>3.3045013239187924</v>
      </c>
      <c r="G33" s="1">
        <f t="shared" si="1"/>
        <v>3.3045013239187924</v>
      </c>
      <c r="H33" s="1">
        <f t="shared" si="2"/>
        <v>10.919728999781052</v>
      </c>
      <c r="I33" s="20">
        <f t="shared" si="3"/>
        <v>0.25419240953221478</v>
      </c>
    </row>
    <row r="34" spans="1:9" x14ac:dyDescent="0.25">
      <c r="A34" s="115">
        <v>2022</v>
      </c>
      <c r="B34" s="43">
        <f>'Naive Forecasts'!B34</f>
        <v>44562</v>
      </c>
      <c r="C34" s="7">
        <f>IF($B$6="Product A",'Actual Demand Database'!C26,IF($B$6="Product B",'Actual Demand Database'!D26,IF($B$6="Product C",'Actual Demand Database'!E26,IF($B$6="Product D",'Actual Demand Database'!F26,"N/A"))))</f>
        <v>33</v>
      </c>
      <c r="D34" s="1">
        <f t="shared" si="4"/>
        <v>13</v>
      </c>
      <c r="E34" s="117"/>
      <c r="F34" s="1">
        <f t="shared" si="0"/>
        <v>20</v>
      </c>
      <c r="G34" s="1">
        <f t="shared" si="1"/>
        <v>20</v>
      </c>
      <c r="H34" s="1">
        <f t="shared" si="2"/>
        <v>400</v>
      </c>
      <c r="I34" s="20">
        <f t="shared" si="3"/>
        <v>0.60606060606060608</v>
      </c>
    </row>
    <row r="35" spans="1:9" x14ac:dyDescent="0.25">
      <c r="A35" s="115"/>
      <c r="B35" s="43">
        <f>'Naive Forecasts'!B35</f>
        <v>44593</v>
      </c>
      <c r="C35" s="7">
        <f>IF($B$6="Product A",'Actual Demand Database'!C27,IF($B$6="Product B",'Actual Demand Database'!D27,IF($B$6="Product C",'Actual Demand Database'!E27,IF($B$6="Product D",'Actual Demand Database'!F27,"N/A"))))</f>
        <v>13</v>
      </c>
      <c r="D35" s="1">
        <f t="shared" si="4"/>
        <v>25.656663724624906</v>
      </c>
      <c r="E35" s="117"/>
      <c r="F35" s="1">
        <f t="shared" si="0"/>
        <v>-12.656663724624906</v>
      </c>
      <c r="G35" s="1">
        <f t="shared" si="1"/>
        <v>12.656663724624906</v>
      </c>
      <c r="H35" s="1">
        <f t="shared" si="2"/>
        <v>160.191136638236</v>
      </c>
      <c r="I35" s="20">
        <f t="shared" si="3"/>
        <v>0.97358951727883891</v>
      </c>
    </row>
    <row r="36" spans="1:9" x14ac:dyDescent="0.25">
      <c r="A36" s="115"/>
      <c r="B36" s="43">
        <f>'Naive Forecasts'!B36</f>
        <v>44621</v>
      </c>
      <c r="C36" s="7">
        <f>IF($B$6="Product A",'Actual Demand Database'!C28,IF($B$6="Product B",'Actual Demand Database'!D28,IF($B$6="Product C",'Actual Demand Database'!E28,IF($B$6="Product D",'Actual Demand Database'!F28,"N/A"))))</f>
        <v>38</v>
      </c>
      <c r="D36" s="1">
        <f t="shared" si="4"/>
        <v>20.343336275375094</v>
      </c>
      <c r="E36" s="117"/>
      <c r="F36" s="1">
        <f t="shared" si="0"/>
        <v>17.656663724624906</v>
      </c>
      <c r="G36" s="1">
        <f t="shared" si="1"/>
        <v>17.656663724624906</v>
      </c>
      <c r="H36" s="1">
        <f t="shared" si="2"/>
        <v>311.75777388448506</v>
      </c>
      <c r="I36" s="20">
        <f t="shared" si="3"/>
        <v>0.46464904538486596</v>
      </c>
    </row>
    <row r="37" spans="1:9" x14ac:dyDescent="0.25">
      <c r="A37" s="115"/>
      <c r="B37" s="43">
        <f>'Naive Forecasts'!B37</f>
        <v>44652</v>
      </c>
      <c r="C37" s="7">
        <f>IF($B$6="Product A",'Actual Demand Database'!C29,IF($B$6="Product B",'Actual Demand Database'!D29,IF($B$6="Product C",'Actual Demand Database'!E29,IF($B$6="Product D",'Actual Demand Database'!F29,"N/A"))))</f>
        <v>32</v>
      </c>
      <c r="D37" s="1">
        <f t="shared" si="4"/>
        <v>28.820829655781132</v>
      </c>
      <c r="E37" s="117"/>
      <c r="F37" s="1">
        <f t="shared" si="0"/>
        <v>3.1791703442188677</v>
      </c>
      <c r="G37" s="1">
        <f t="shared" si="1"/>
        <v>3.1791703442188677</v>
      </c>
      <c r="H37" s="1">
        <f t="shared" si="2"/>
        <v>10.107124077560714</v>
      </c>
      <c r="I37" s="20">
        <f t="shared" si="3"/>
        <v>9.9349073256839615E-2</v>
      </c>
    </row>
    <row r="38" spans="1:9" ht="15.75" thickBot="1" x14ac:dyDescent="0.3">
      <c r="A38" s="115"/>
      <c r="B38" s="43">
        <f>'Naive Forecasts'!B38</f>
        <v>44682</v>
      </c>
      <c r="C38" s="8">
        <f>IF($B$6="Product A",'Actual Demand Database'!C30,IF($B$6="Product B",'Actual Demand Database'!D30,IF($B$6="Product C",'Actual Demand Database'!E30,IF($B$6="Product D",'Actual Demand Database'!F30,"N/A"))))</f>
        <v>36</v>
      </c>
      <c r="D38" s="1">
        <f t="shared" si="4"/>
        <v>34.203000882612528</v>
      </c>
      <c r="E38" s="118"/>
      <c r="F38" s="1">
        <f t="shared" si="0"/>
        <v>1.7969991173874718</v>
      </c>
      <c r="G38" s="5">
        <f t="shared" si="1"/>
        <v>1.7969991173874718</v>
      </c>
      <c r="H38" s="5">
        <f t="shared" si="2"/>
        <v>3.2292058278913527</v>
      </c>
      <c r="I38" s="30">
        <f t="shared" si="3"/>
        <v>4.9916642149651996E-2</v>
      </c>
    </row>
    <row r="39" spans="1:9" x14ac:dyDescent="0.25">
      <c r="A39" s="115"/>
      <c r="B39" s="43">
        <f>'Naive Forecasts'!B39</f>
        <v>44713</v>
      </c>
      <c r="C39" s="27">
        <f>IF($B$6="Product A",'Actual Demand Database'!C31,IF($B$6="Product B",'Actual Demand Database'!D31,IF($B$6="Product C",'Actual Demand Database'!E31,IF($B$6="Product D",'Actual Demand Database'!F31,"N/A"))))</f>
        <v>1</v>
      </c>
      <c r="D39" s="1">
        <f t="shared" ref="D39" si="5">($E$3*C37)+($F$3*C38)</f>
        <v>34.531332744924981</v>
      </c>
      <c r="E39" s="6">
        <f>($E$3*C37)+($F$3*C38)</f>
        <v>34.531332744924981</v>
      </c>
      <c r="F39" s="1">
        <f t="shared" si="0"/>
        <v>-33.531332744924981</v>
      </c>
      <c r="G39" s="28">
        <f t="shared" si="1"/>
        <v>33.531332744924981</v>
      </c>
      <c r="H39" s="28">
        <f t="shared" si="2"/>
        <v>1124.3502756508783</v>
      </c>
      <c r="I39" s="29">
        <f t="shared" si="3"/>
        <v>33.531332744924981</v>
      </c>
    </row>
    <row r="40" spans="1:9" x14ac:dyDescent="0.25">
      <c r="A40" s="115"/>
      <c r="B40" s="43">
        <f>'Naive Forecasts'!B40</f>
        <v>44743</v>
      </c>
      <c r="C40" s="13">
        <f>IF($B$6="Product A",'Actual Demand Database'!C32,IF($B$6="Product B",'Actual Demand Database'!D32,IF($B$6="Product C",'Actual Demand Database'!E32,IF($B$6="Product D",'Actual Demand Database'!F32,"N/A"))))</f>
        <v>56</v>
      </c>
      <c r="D40" s="1">
        <f t="shared" ref="D40" si="6">($E$3*C38)+($F$3*C39)</f>
        <v>13.850838481906417</v>
      </c>
      <c r="E40" s="6">
        <f>($E$3*C38)+($F$3*D39)</f>
        <v>35.070578621457379</v>
      </c>
      <c r="F40" s="1">
        <f t="shared" si="0"/>
        <v>42.149161518093585</v>
      </c>
      <c r="G40" s="6">
        <f t="shared" si="1"/>
        <v>42.149161518093585</v>
      </c>
      <c r="H40" s="6">
        <f t="shared" si="2"/>
        <v>1776.5518166783411</v>
      </c>
      <c r="I40" s="21">
        <f t="shared" si="3"/>
        <v>0.7526635985373854</v>
      </c>
    </row>
    <row r="41" spans="1:9" x14ac:dyDescent="0.25">
      <c r="A41" s="115"/>
      <c r="B41" s="43">
        <f>'Naive Forecasts'!B41</f>
        <v>44774</v>
      </c>
      <c r="C41" s="13">
        <f>IF($B$6="Product A",'Actual Demand Database'!C33,IF($B$6="Product B",'Actual Demand Database'!D33,IF($B$6="Product C",'Actual Demand Database'!E33,IF($B$6="Product D",'Actual Demand Database'!F33,"N/A"))))</f>
        <v>43</v>
      </c>
      <c r="D41" s="1">
        <f t="shared" ref="D41" si="7">($E$3*C39)+($F$3*C40)</f>
        <v>35.805825242718491</v>
      </c>
      <c r="E41" s="6">
        <f>($E$3*D39)+($F$3*D40)</f>
        <v>21.444029667621955</v>
      </c>
      <c r="F41" s="1">
        <f t="shared" si="0"/>
        <v>7.1941747572815089</v>
      </c>
      <c r="G41" s="6">
        <f t="shared" si="1"/>
        <v>7.1941747572815089</v>
      </c>
      <c r="H41" s="6">
        <f t="shared" si="2"/>
        <v>51.756150438306456</v>
      </c>
      <c r="I41" s="21">
        <f t="shared" si="3"/>
        <v>0.16730638970422113</v>
      </c>
    </row>
    <row r="42" spans="1:9" x14ac:dyDescent="0.25">
      <c r="A42" s="115"/>
      <c r="B42" s="43">
        <f>'Naive Forecasts'!B42</f>
        <v>44805</v>
      </c>
      <c r="C42" s="13">
        <f>IF($B$6="Product A",'Actual Demand Database'!C34,IF($B$6="Product B",'Actual Demand Database'!D34,IF($B$6="Product C",'Actual Demand Database'!E34,IF($B$6="Product D",'Actual Demand Database'!F34,"N/A"))))</f>
        <v>12</v>
      </c>
      <c r="D42" s="1">
        <f t="shared" ref="D42:E42" si="8">($E$3*C40)+($F$3*C41)</f>
        <v>47.773168578993818</v>
      </c>
      <c r="E42" s="6">
        <f t="shared" si="8"/>
        <v>27.744682707415929</v>
      </c>
      <c r="F42" s="1">
        <f t="shared" si="0"/>
        <v>-35.773168578993818</v>
      </c>
      <c r="G42" s="6">
        <f t="shared" si="1"/>
        <v>35.773168578993818</v>
      </c>
      <c r="H42" s="6">
        <f t="shared" si="2"/>
        <v>1279.7195901811106</v>
      </c>
      <c r="I42" s="21">
        <f t="shared" si="3"/>
        <v>2.9810973815828183</v>
      </c>
    </row>
    <row r="43" spans="1:9" x14ac:dyDescent="0.25">
      <c r="A43" s="115"/>
      <c r="B43" s="43">
        <f>'Naive Forecasts'!B43</f>
        <v>44835</v>
      </c>
      <c r="C43" s="13">
        <f>IF($B$6="Product A",'Actual Demand Database'!C35,IF($B$6="Product B",'Actual Demand Database'!D35,IF($B$6="Product C",'Actual Demand Database'!E35,IF($B$6="Product D",'Actual Demand Database'!F35,"N/A"))))</f>
        <v>2</v>
      </c>
      <c r="D43" s="1">
        <f t="shared" ref="D43:E43" si="9">($E$3*C41)+($F$3*C42)</f>
        <v>23.382171226831396</v>
      </c>
      <c r="E43" s="6">
        <f t="shared" si="9"/>
        <v>43.379157256936871</v>
      </c>
      <c r="F43" s="1">
        <f t="shared" si="0"/>
        <v>-21.382171226831396</v>
      </c>
      <c r="G43" s="6">
        <f t="shared" si="1"/>
        <v>21.382171226831396</v>
      </c>
      <c r="H43" s="6">
        <f t="shared" si="2"/>
        <v>457.19724637353642</v>
      </c>
      <c r="I43" s="21">
        <f t="shared" si="3"/>
        <v>10.691085613415698</v>
      </c>
    </row>
    <row r="44" spans="1:9" x14ac:dyDescent="0.25">
      <c r="A44" s="115"/>
      <c r="B44" s="43">
        <f>'Naive Forecasts'!B44</f>
        <v>44866</v>
      </c>
      <c r="C44" s="13">
        <f>IF($B$6="Product A",'Actual Demand Database'!C36,IF($B$6="Product B",'Actual Demand Database'!D36,IF($B$6="Product C",'Actual Demand Database'!E36,IF($B$6="Product D",'Actual Demand Database'!F36,"N/A"))))</f>
        <v>15</v>
      </c>
      <c r="D44" s="1">
        <f t="shared" ref="D44:E44" si="10">($E$3*C42)+($F$3*C43)</f>
        <v>5.671668137687548</v>
      </c>
      <c r="E44" s="6">
        <f t="shared" si="10"/>
        <v>32.337736009267012</v>
      </c>
      <c r="F44" s="1">
        <f t="shared" si="0"/>
        <v>9.3283318623124529</v>
      </c>
      <c r="G44" s="6">
        <f t="shared" si="1"/>
        <v>9.3283318623124529</v>
      </c>
      <c r="H44" s="6">
        <f t="shared" si="2"/>
        <v>87.017775333433718</v>
      </c>
      <c r="I44" s="21">
        <f t="shared" si="3"/>
        <v>0.62188879082083015</v>
      </c>
    </row>
    <row r="45" spans="1:9" x14ac:dyDescent="0.25">
      <c r="A45" s="115"/>
      <c r="B45" s="43">
        <f>'Naive Forecasts'!B45</f>
        <v>44896</v>
      </c>
      <c r="C45" s="13">
        <f>IF($B$6="Product A",'Actual Demand Database'!C37,IF($B$6="Product B",'Actual Demand Database'!D37,IF($B$6="Product C",'Actual Demand Database'!E37,IF($B$6="Product D",'Actual Demand Database'!F37,"N/A"))))</f>
        <v>24</v>
      </c>
      <c r="D45" s="1">
        <f t="shared" ref="D45:E45" si="11">($E$3*C43)+($F$3*C44)</f>
        <v>10.226831421006189</v>
      </c>
      <c r="E45" s="6">
        <f t="shared" si="11"/>
        <v>12.174377127170183</v>
      </c>
      <c r="F45" s="1">
        <f t="shared" si="0"/>
        <v>13.773168578993811</v>
      </c>
      <c r="G45" s="6">
        <f t="shared" si="1"/>
        <v>13.773168578993811</v>
      </c>
      <c r="H45" s="6">
        <f>F45^2</f>
        <v>189.70017270538241</v>
      </c>
      <c r="I45" s="21">
        <f>(G45/C45)</f>
        <v>0.5738820241247421</v>
      </c>
    </row>
    <row r="46" spans="1:9" ht="15.75" thickBot="1" x14ac:dyDescent="0.3">
      <c r="A46" s="9">
        <v>2023</v>
      </c>
      <c r="B46" s="43">
        <f>'Naive Forecasts'!B46</f>
        <v>44927</v>
      </c>
      <c r="C46" s="11"/>
      <c r="D46" s="11">
        <f t="shared" si="4"/>
        <v>20.695498676081208</v>
      </c>
      <c r="E46" s="10"/>
      <c r="F46" s="10"/>
      <c r="G46" s="10"/>
      <c r="H46" s="10"/>
      <c r="I46" s="12"/>
    </row>
  </sheetData>
  <mergeCells count="5">
    <mergeCell ref="A1:V1"/>
    <mergeCell ref="A10:A21"/>
    <mergeCell ref="E10:E38"/>
    <mergeCell ref="A22:A33"/>
    <mergeCell ref="A34:A4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0829AC-9558-473C-BA75-456BE1288804}">
          <x14:formula1>
            <xm:f>'Actual Demand Database'!$C$1:$F$1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B0FEA-549E-40D0-80A8-C2113ED68A91}">
  <dimension ref="A1:V46"/>
  <sheetViews>
    <sheetView workbookViewId="0">
      <selection activeCell="B6" sqref="B6"/>
    </sheetView>
  </sheetViews>
  <sheetFormatPr defaultRowHeight="15" x14ac:dyDescent="0.25"/>
  <cols>
    <col min="1" max="1" width="12.28515625" bestFit="1" customWidth="1"/>
    <col min="2" max="2" width="15.5703125" bestFit="1" customWidth="1"/>
    <col min="3" max="3" width="14.5703125" bestFit="1" customWidth="1"/>
    <col min="4" max="4" width="14" bestFit="1" customWidth="1"/>
    <col min="5" max="5" width="15.85546875" bestFit="1" customWidth="1"/>
    <col min="6" max="6" width="6.28515625" bestFit="1" customWidth="1"/>
    <col min="7" max="7" width="13.85546875" bestFit="1" customWidth="1"/>
    <col min="8" max="8" width="13.140625" bestFit="1" customWidth="1"/>
    <col min="9" max="9" width="17.28515625" bestFit="1" customWidth="1"/>
    <col min="11" max="11" width="41.28515625" bestFit="1" customWidth="1"/>
    <col min="12" max="12" width="24.85546875" bestFit="1" customWidth="1"/>
  </cols>
  <sheetData>
    <row r="1" spans="1:22" s="14" customFormat="1" ht="21.75" thickBot="1" x14ac:dyDescent="0.4">
      <c r="A1" s="114" t="s">
        <v>24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</row>
    <row r="2" spans="1:22" x14ac:dyDescent="0.25">
      <c r="A2" s="15" t="s">
        <v>7</v>
      </c>
      <c r="B2" s="53">
        <f>AVERAGE(G10:G45)</f>
        <v>17.022520359964297</v>
      </c>
      <c r="D2" s="45" t="s">
        <v>25</v>
      </c>
      <c r="E2" s="34">
        <v>0.8</v>
      </c>
      <c r="K2" s="81" t="s">
        <v>70</v>
      </c>
      <c r="L2" s="79">
        <f>'Measures of Errors'!B1</f>
        <v>17.022520359964297</v>
      </c>
    </row>
    <row r="3" spans="1:22" ht="15.75" thickBot="1" x14ac:dyDescent="0.3">
      <c r="A3" s="2" t="s">
        <v>8</v>
      </c>
      <c r="B3" s="54">
        <f>AVERAGE(H39:H45)</f>
        <v>432.60884859724769</v>
      </c>
      <c r="D3" s="36" t="s">
        <v>26</v>
      </c>
      <c r="E3" s="37">
        <v>6</v>
      </c>
      <c r="K3" s="82" t="s">
        <v>69</v>
      </c>
      <c r="L3" s="79" t="str">
        <f>'Measures of Errors'!B2</f>
        <v>Exponential Smoothing</v>
      </c>
    </row>
    <row r="4" spans="1:22" ht="15.75" thickBot="1" x14ac:dyDescent="0.3">
      <c r="A4" s="17" t="s">
        <v>9</v>
      </c>
      <c r="B4" s="55">
        <f>AVERAGE(I39:I45)</f>
        <v>1.1441319705257931</v>
      </c>
    </row>
    <row r="5" spans="1:22" ht="15.75" thickBot="1" x14ac:dyDescent="0.3"/>
    <row r="6" spans="1:22" ht="24" thickBot="1" x14ac:dyDescent="0.4">
      <c r="A6" s="31" t="s">
        <v>10</v>
      </c>
      <c r="B6" s="32" t="s">
        <v>2</v>
      </c>
    </row>
    <row r="8" spans="1:22" ht="15.75" thickBot="1" x14ac:dyDescent="0.3"/>
    <row r="9" spans="1:22" ht="45.75" customHeight="1" x14ac:dyDescent="0.25">
      <c r="A9" s="22" t="s">
        <v>0</v>
      </c>
      <c r="B9" s="23" t="s">
        <v>11</v>
      </c>
      <c r="C9" s="23" t="s">
        <v>17</v>
      </c>
      <c r="D9" s="42" t="s">
        <v>23</v>
      </c>
      <c r="E9" s="23" t="s">
        <v>16</v>
      </c>
      <c r="F9" s="23" t="s">
        <v>12</v>
      </c>
      <c r="G9" s="23" t="s">
        <v>13</v>
      </c>
      <c r="H9" s="23" t="s">
        <v>14</v>
      </c>
      <c r="I9" s="24" t="s">
        <v>15</v>
      </c>
    </row>
    <row r="10" spans="1:22" x14ac:dyDescent="0.25">
      <c r="A10" s="115">
        <v>2020</v>
      </c>
      <c r="B10" s="43">
        <v>43831</v>
      </c>
      <c r="C10" s="7">
        <f>IF($B$6="Product A",'Actual Demand Database'!C2,IF($B$6="Product B",'Actual Demand Database'!D2,IF($B$6="Product C",'Actual Demand Database'!E2,IF($B$6="Product D",'Actual Demand Database'!F2,"N/A"))))</f>
        <v>6</v>
      </c>
      <c r="D10" s="1">
        <v>6</v>
      </c>
      <c r="E10" s="116"/>
      <c r="F10" s="1"/>
      <c r="G10" s="1"/>
      <c r="H10" s="1"/>
      <c r="I10" s="3"/>
    </row>
    <row r="11" spans="1:22" x14ac:dyDescent="0.25">
      <c r="A11" s="115"/>
      <c r="B11" s="43">
        <v>43862</v>
      </c>
      <c r="C11" s="7">
        <f>IF($B$6="Product A",'Actual Demand Database'!C3,IF($B$6="Product B",'Actual Demand Database'!D3,IF($B$6="Product C",'Actual Demand Database'!E3,IF($B$6="Product D",'Actual Demand Database'!F3,"N/A"))))</f>
        <v>3</v>
      </c>
      <c r="D11" s="46">
        <f>($E$2*C10)+(1-$E$2)*D10</f>
        <v>6</v>
      </c>
      <c r="E11" s="117"/>
      <c r="F11" s="1"/>
      <c r="G11" s="1"/>
      <c r="H11" s="1"/>
      <c r="I11" s="20"/>
    </row>
    <row r="12" spans="1:22" x14ac:dyDescent="0.25">
      <c r="A12" s="115"/>
      <c r="B12" s="43">
        <v>43891</v>
      </c>
      <c r="C12" s="7">
        <f>IF($B$6="Product A",'Actual Demand Database'!C4,IF($B$6="Product B",'Actual Demand Database'!D4,IF($B$6="Product C",'Actual Demand Database'!E4,IF($B$6="Product D",'Actual Demand Database'!F4,"N/A"))))</f>
        <v>44</v>
      </c>
      <c r="D12" s="46">
        <f t="shared" ref="D12:D46" si="0">($E$2*C11)+(1-$E$2)*D11</f>
        <v>3.6</v>
      </c>
      <c r="E12" s="117"/>
      <c r="F12" s="1">
        <f t="shared" ref="F12:F40" si="1">C12-D12</f>
        <v>40.4</v>
      </c>
      <c r="G12" s="46">
        <f>ABS(F12)</f>
        <v>40.4</v>
      </c>
      <c r="H12" s="46">
        <f t="shared" ref="H12:H45" si="2">F12^2</f>
        <v>1632.1599999999999</v>
      </c>
      <c r="I12" s="20">
        <f t="shared" ref="I12:I39" si="3">(G12/C12)</f>
        <v>0.9181818181818181</v>
      </c>
    </row>
    <row r="13" spans="1:22" x14ac:dyDescent="0.25">
      <c r="A13" s="115"/>
      <c r="B13" s="43">
        <v>43922</v>
      </c>
      <c r="C13" s="7">
        <f>IF($B$6="Product A",'Actual Demand Database'!C5,IF($B$6="Product B",'Actual Demand Database'!D5,IF($B$6="Product C",'Actual Demand Database'!E5,IF($B$6="Product D",'Actual Demand Database'!F5,"N/A"))))</f>
        <v>26</v>
      </c>
      <c r="D13" s="46">
        <f t="shared" si="0"/>
        <v>35.92</v>
      </c>
      <c r="E13" s="117"/>
      <c r="F13" s="1">
        <f t="shared" si="1"/>
        <v>-9.9200000000000017</v>
      </c>
      <c r="G13" s="46">
        <f t="shared" ref="G13:G45" si="4">ABS(F13)</f>
        <v>9.9200000000000017</v>
      </c>
      <c r="H13" s="46">
        <f t="shared" si="2"/>
        <v>98.406400000000033</v>
      </c>
      <c r="I13" s="20">
        <f t="shared" si="3"/>
        <v>0.3815384615384616</v>
      </c>
    </row>
    <row r="14" spans="1:22" x14ac:dyDescent="0.25">
      <c r="A14" s="115"/>
      <c r="B14" s="43">
        <v>43952</v>
      </c>
      <c r="C14" s="7">
        <f>IF($B$6="Product A",'Actual Demand Database'!C6,IF($B$6="Product B",'Actual Demand Database'!D6,IF($B$6="Product C",'Actual Demand Database'!E6,IF($B$6="Product D",'Actual Demand Database'!F6,"N/A"))))</f>
        <v>46</v>
      </c>
      <c r="D14" s="46">
        <f t="shared" si="0"/>
        <v>27.983999999999998</v>
      </c>
      <c r="E14" s="117"/>
      <c r="F14" s="1">
        <f t="shared" si="1"/>
        <v>18.016000000000002</v>
      </c>
      <c r="G14" s="46">
        <f t="shared" si="4"/>
        <v>18.016000000000002</v>
      </c>
      <c r="H14" s="46">
        <f t="shared" si="2"/>
        <v>324.57625600000006</v>
      </c>
      <c r="I14" s="20">
        <f t="shared" si="3"/>
        <v>0.39165217391304352</v>
      </c>
    </row>
    <row r="15" spans="1:22" x14ac:dyDescent="0.25">
      <c r="A15" s="115"/>
      <c r="B15" s="43">
        <v>43983</v>
      </c>
      <c r="C15" s="7">
        <f>IF($B$6="Product A",'Actual Demand Database'!C7,IF($B$6="Product B",'Actual Demand Database'!D7,IF($B$6="Product C",'Actual Demand Database'!E7,IF($B$6="Product D",'Actual Demand Database'!F7,"N/A"))))</f>
        <v>41</v>
      </c>
      <c r="D15" s="46">
        <f t="shared" si="0"/>
        <v>42.396799999999999</v>
      </c>
      <c r="E15" s="117"/>
      <c r="F15" s="1">
        <f t="shared" si="1"/>
        <v>-1.3967999999999989</v>
      </c>
      <c r="G15" s="46">
        <f t="shared" si="4"/>
        <v>1.3967999999999989</v>
      </c>
      <c r="H15" s="46">
        <f t="shared" si="2"/>
        <v>1.9510502399999969</v>
      </c>
      <c r="I15" s="20">
        <f t="shared" si="3"/>
        <v>3.4068292682926805E-2</v>
      </c>
    </row>
    <row r="16" spans="1:22" x14ac:dyDescent="0.25">
      <c r="A16" s="115"/>
      <c r="B16" s="43">
        <v>44013</v>
      </c>
      <c r="C16" s="7">
        <f>IF($B$6="Product A",'Actual Demand Database'!C8,IF($B$6="Product B",'Actual Demand Database'!D8,IF($B$6="Product C",'Actual Demand Database'!E8,IF($B$6="Product D",'Actual Demand Database'!F8,"N/A"))))</f>
        <v>28</v>
      </c>
      <c r="D16" s="46">
        <f t="shared" si="0"/>
        <v>41.279360000000004</v>
      </c>
      <c r="E16" s="117"/>
      <c r="F16" s="1">
        <f t="shared" si="1"/>
        <v>-13.279360000000004</v>
      </c>
      <c r="G16" s="46">
        <f t="shared" si="4"/>
        <v>13.279360000000004</v>
      </c>
      <c r="H16" s="46">
        <f t="shared" si="2"/>
        <v>176.3414020096001</v>
      </c>
      <c r="I16" s="20">
        <f t="shared" si="3"/>
        <v>0.47426285714285726</v>
      </c>
    </row>
    <row r="17" spans="1:9" x14ac:dyDescent="0.25">
      <c r="A17" s="115"/>
      <c r="B17" s="43">
        <v>44044</v>
      </c>
      <c r="C17" s="7">
        <f>IF($B$6="Product A",'Actual Demand Database'!C9,IF($B$6="Product B",'Actual Demand Database'!D9,IF($B$6="Product C",'Actual Demand Database'!E9,IF($B$6="Product D",'Actual Demand Database'!F9,"N/A"))))</f>
        <v>14</v>
      </c>
      <c r="D17" s="46">
        <f t="shared" si="0"/>
        <v>30.655872000000002</v>
      </c>
      <c r="E17" s="117"/>
      <c r="F17" s="1">
        <f t="shared" si="1"/>
        <v>-16.655872000000002</v>
      </c>
      <c r="G17" s="46">
        <f t="shared" si="4"/>
        <v>16.655872000000002</v>
      </c>
      <c r="H17" s="46">
        <f t="shared" si="2"/>
        <v>277.41807208038409</v>
      </c>
      <c r="I17" s="20">
        <f t="shared" si="3"/>
        <v>1.189705142857143</v>
      </c>
    </row>
    <row r="18" spans="1:9" x14ac:dyDescent="0.25">
      <c r="A18" s="115"/>
      <c r="B18" s="43">
        <v>44075</v>
      </c>
      <c r="C18" s="7">
        <f>IF($B$6="Product A",'Actual Demand Database'!C10,IF($B$6="Product B",'Actual Demand Database'!D10,IF($B$6="Product C",'Actual Demand Database'!E10,IF($B$6="Product D",'Actual Demand Database'!F10,"N/A"))))</f>
        <v>30</v>
      </c>
      <c r="D18" s="46">
        <f t="shared" si="0"/>
        <v>17.331174400000002</v>
      </c>
      <c r="E18" s="117"/>
      <c r="F18" s="1">
        <f t="shared" si="1"/>
        <v>12.668825599999998</v>
      </c>
      <c r="G18" s="46">
        <f t="shared" si="4"/>
        <v>12.668825599999998</v>
      </c>
      <c r="H18" s="46">
        <f t="shared" si="2"/>
        <v>160.4991420832153</v>
      </c>
      <c r="I18" s="20">
        <f t="shared" si="3"/>
        <v>0.42229418666666663</v>
      </c>
    </row>
    <row r="19" spans="1:9" x14ac:dyDescent="0.25">
      <c r="A19" s="115"/>
      <c r="B19" s="43">
        <v>44105</v>
      </c>
      <c r="C19" s="7">
        <f>IF($B$6="Product A",'Actual Demand Database'!C11,IF($B$6="Product B",'Actual Demand Database'!D11,IF($B$6="Product C",'Actual Demand Database'!E11,IF($B$6="Product D",'Actual Demand Database'!F11,"N/A"))))</f>
        <v>8</v>
      </c>
      <c r="D19" s="46">
        <f t="shared" si="0"/>
        <v>27.466234879999998</v>
      </c>
      <c r="E19" s="117"/>
      <c r="F19" s="1">
        <f t="shared" si="1"/>
        <v>-19.466234879999998</v>
      </c>
      <c r="G19" s="46">
        <f t="shared" si="4"/>
        <v>19.466234879999998</v>
      </c>
      <c r="H19" s="46">
        <f t="shared" si="2"/>
        <v>378.93430040332856</v>
      </c>
      <c r="I19" s="20">
        <f t="shared" si="3"/>
        <v>2.4332793599999998</v>
      </c>
    </row>
    <row r="20" spans="1:9" x14ac:dyDescent="0.25">
      <c r="A20" s="115"/>
      <c r="B20" s="43">
        <v>44136</v>
      </c>
      <c r="C20" s="7">
        <f>IF($B$6="Product A",'Actual Demand Database'!C12,IF($B$6="Product B",'Actual Demand Database'!D12,IF($B$6="Product C",'Actual Demand Database'!E12,IF($B$6="Product D",'Actual Demand Database'!F12,"N/A"))))</f>
        <v>46</v>
      </c>
      <c r="D20" s="46">
        <f t="shared" si="0"/>
        <v>11.893246975999999</v>
      </c>
      <c r="E20" s="117"/>
      <c r="F20" s="1">
        <f t="shared" si="1"/>
        <v>34.106753024</v>
      </c>
      <c r="G20" s="46">
        <f t="shared" si="4"/>
        <v>34.106753024</v>
      </c>
      <c r="H20" s="46">
        <f t="shared" si="2"/>
        <v>1163.2706018401332</v>
      </c>
      <c r="I20" s="20">
        <f t="shared" si="3"/>
        <v>0.7414511526956522</v>
      </c>
    </row>
    <row r="21" spans="1:9" x14ac:dyDescent="0.25">
      <c r="A21" s="115"/>
      <c r="B21" s="43">
        <v>44166</v>
      </c>
      <c r="C21" s="7">
        <f>IF($B$6="Product A",'Actual Demand Database'!C13,IF($B$6="Product B",'Actual Demand Database'!D13,IF($B$6="Product C",'Actual Demand Database'!E13,IF($B$6="Product D",'Actual Demand Database'!F13,"N/A"))))</f>
        <v>30</v>
      </c>
      <c r="D21" s="46">
        <f t="shared" si="0"/>
        <v>39.178649395200004</v>
      </c>
      <c r="E21" s="117"/>
      <c r="F21" s="1">
        <f t="shared" si="1"/>
        <v>-9.1786493952000043</v>
      </c>
      <c r="G21" s="46">
        <f t="shared" si="4"/>
        <v>9.1786493952000043</v>
      </c>
      <c r="H21" s="46">
        <f t="shared" si="2"/>
        <v>84.247604720005398</v>
      </c>
      <c r="I21" s="20">
        <f t="shared" si="3"/>
        <v>0.30595497984000014</v>
      </c>
    </row>
    <row r="22" spans="1:9" x14ac:dyDescent="0.25">
      <c r="A22" s="115">
        <v>2021</v>
      </c>
      <c r="B22" s="43">
        <v>44197</v>
      </c>
      <c r="C22" s="7">
        <f>IF($B$6="Product A",'Actual Demand Database'!C14,IF($B$6="Product B",'Actual Demand Database'!D14,IF($B$6="Product C",'Actual Demand Database'!E14,IF($B$6="Product D",'Actual Demand Database'!F14,"N/A"))))</f>
        <v>9</v>
      </c>
      <c r="D22" s="46">
        <f t="shared" si="0"/>
        <v>31.835729879039999</v>
      </c>
      <c r="E22" s="117"/>
      <c r="F22" s="1">
        <f t="shared" si="1"/>
        <v>-22.835729879039999</v>
      </c>
      <c r="G22" s="46">
        <f t="shared" si="4"/>
        <v>22.835729879039999</v>
      </c>
      <c r="H22" s="46">
        <f t="shared" si="2"/>
        <v>521.47055910848019</v>
      </c>
      <c r="I22" s="20">
        <f t="shared" si="3"/>
        <v>2.5373033198933332</v>
      </c>
    </row>
    <row r="23" spans="1:9" x14ac:dyDescent="0.25">
      <c r="A23" s="115"/>
      <c r="B23" s="43">
        <v>44228</v>
      </c>
      <c r="C23" s="7">
        <f>IF($B$6="Product A",'Actual Demand Database'!C15,IF($B$6="Product B",'Actual Demand Database'!D15,IF($B$6="Product C",'Actual Demand Database'!E15,IF($B$6="Product D",'Actual Demand Database'!F15,"N/A"))))</f>
        <v>36</v>
      </c>
      <c r="D23" s="46">
        <f t="shared" si="0"/>
        <v>13.567145975808</v>
      </c>
      <c r="E23" s="117"/>
      <c r="F23" s="1">
        <f t="shared" si="1"/>
        <v>22.432854024192</v>
      </c>
      <c r="G23" s="46">
        <f t="shared" si="4"/>
        <v>22.432854024192</v>
      </c>
      <c r="H23" s="46">
        <f t="shared" si="2"/>
        <v>503.2329396707072</v>
      </c>
      <c r="I23" s="20">
        <f t="shared" si="3"/>
        <v>0.62313483400533332</v>
      </c>
    </row>
    <row r="24" spans="1:9" x14ac:dyDescent="0.25">
      <c r="A24" s="115"/>
      <c r="B24" s="43">
        <v>44256</v>
      </c>
      <c r="C24" s="7">
        <f>IF($B$6="Product A",'Actual Demand Database'!C16,IF($B$6="Product B",'Actual Demand Database'!D16,IF($B$6="Product C",'Actual Demand Database'!E16,IF($B$6="Product D",'Actual Demand Database'!F16,"N/A"))))</f>
        <v>40</v>
      </c>
      <c r="D24" s="46">
        <f t="shared" si="0"/>
        <v>31.513429195161599</v>
      </c>
      <c r="E24" s="117"/>
      <c r="F24" s="1">
        <f t="shared" si="1"/>
        <v>8.4865708048384008</v>
      </c>
      <c r="G24" s="46">
        <f t="shared" si="4"/>
        <v>8.4865708048384008</v>
      </c>
      <c r="H24" s="46">
        <f t="shared" si="2"/>
        <v>72.021884025535499</v>
      </c>
      <c r="I24" s="20">
        <f t="shared" si="3"/>
        <v>0.21216427012096001</v>
      </c>
    </row>
    <row r="25" spans="1:9" x14ac:dyDescent="0.25">
      <c r="A25" s="115"/>
      <c r="B25" s="43">
        <v>44287</v>
      </c>
      <c r="C25" s="7">
        <f>IF($B$6="Product A",'Actual Demand Database'!C17,IF($B$6="Product B",'Actual Demand Database'!D17,IF($B$6="Product C",'Actual Demand Database'!E17,IF($B$6="Product D",'Actual Demand Database'!F17,"N/A"))))</f>
        <v>3</v>
      </c>
      <c r="D25" s="46">
        <f t="shared" si="0"/>
        <v>38.302685839032321</v>
      </c>
      <c r="E25" s="117"/>
      <c r="F25" s="1">
        <f t="shared" si="1"/>
        <v>-35.302685839032321</v>
      </c>
      <c r="G25" s="46">
        <f t="shared" si="4"/>
        <v>35.302685839032321</v>
      </c>
      <c r="H25" s="46">
        <f t="shared" si="2"/>
        <v>1246.2796274494133</v>
      </c>
      <c r="I25" s="20">
        <f t="shared" si="3"/>
        <v>11.767561946344108</v>
      </c>
    </row>
    <row r="26" spans="1:9" x14ac:dyDescent="0.25">
      <c r="A26" s="115"/>
      <c r="B26" s="43">
        <v>44317</v>
      </c>
      <c r="C26" s="7">
        <f>IF($B$6="Product A",'Actual Demand Database'!C18,IF($B$6="Product B",'Actual Demand Database'!D18,IF($B$6="Product C",'Actual Demand Database'!E18,IF($B$6="Product D",'Actual Demand Database'!F18,"N/A"))))</f>
        <v>25</v>
      </c>
      <c r="D26" s="46">
        <f t="shared" si="0"/>
        <v>10.060537167806462</v>
      </c>
      <c r="E26" s="117"/>
      <c r="F26" s="1">
        <f t="shared" si="1"/>
        <v>14.939462832193538</v>
      </c>
      <c r="G26" s="46">
        <f t="shared" si="4"/>
        <v>14.939462832193538</v>
      </c>
      <c r="H26" s="46">
        <f t="shared" si="2"/>
        <v>223.18754971449218</v>
      </c>
      <c r="I26" s="20">
        <f t="shared" si="3"/>
        <v>0.59757851328774148</v>
      </c>
    </row>
    <row r="27" spans="1:9" x14ac:dyDescent="0.25">
      <c r="A27" s="115"/>
      <c r="B27" s="43">
        <v>44348</v>
      </c>
      <c r="C27" s="7">
        <f>IF($B$6="Product A",'Actual Demand Database'!C19,IF($B$6="Product B",'Actual Demand Database'!D19,IF($B$6="Product C",'Actual Demand Database'!E19,IF($B$6="Product D",'Actual Demand Database'!F19,"N/A"))))</f>
        <v>9</v>
      </c>
      <c r="D27" s="46">
        <f t="shared" si="0"/>
        <v>22.01210743356129</v>
      </c>
      <c r="E27" s="117"/>
      <c r="F27" s="1">
        <f t="shared" si="1"/>
        <v>-13.01210743356129</v>
      </c>
      <c r="G27" s="46">
        <f t="shared" si="4"/>
        <v>13.01210743356129</v>
      </c>
      <c r="H27" s="46">
        <f t="shared" si="2"/>
        <v>169.314939862541</v>
      </c>
      <c r="I27" s="20">
        <f t="shared" si="3"/>
        <v>1.4457897148401433</v>
      </c>
    </row>
    <row r="28" spans="1:9" x14ac:dyDescent="0.25">
      <c r="A28" s="115"/>
      <c r="B28" s="43">
        <v>44378</v>
      </c>
      <c r="C28" s="7">
        <f>IF($B$6="Product A",'Actual Demand Database'!C20,IF($B$6="Product B",'Actual Demand Database'!D20,IF($B$6="Product C",'Actual Demand Database'!E20,IF($B$6="Product D",'Actual Demand Database'!F20,"N/A"))))</f>
        <v>33</v>
      </c>
      <c r="D28" s="46">
        <f t="shared" si="0"/>
        <v>11.602421486712256</v>
      </c>
      <c r="E28" s="117"/>
      <c r="F28" s="1">
        <f t="shared" si="1"/>
        <v>21.397578513287744</v>
      </c>
      <c r="G28" s="46">
        <f t="shared" si="4"/>
        <v>21.397578513287744</v>
      </c>
      <c r="H28" s="46">
        <f t="shared" si="2"/>
        <v>457.85636623231335</v>
      </c>
      <c r="I28" s="20">
        <f t="shared" si="3"/>
        <v>0.64841147009962863</v>
      </c>
    </row>
    <row r="29" spans="1:9" x14ac:dyDescent="0.25">
      <c r="A29" s="115"/>
      <c r="B29" s="43">
        <v>44409</v>
      </c>
      <c r="C29" s="7">
        <f>IF($B$6="Product A",'Actual Demand Database'!C21,IF($B$6="Product B",'Actual Demand Database'!D21,IF($B$6="Product C",'Actual Demand Database'!E21,IF($B$6="Product D",'Actual Demand Database'!F21,"N/A"))))</f>
        <v>31</v>
      </c>
      <c r="D29" s="46">
        <f t="shared" si="0"/>
        <v>28.720484297342452</v>
      </c>
      <c r="E29" s="117"/>
      <c r="F29" s="1">
        <f t="shared" si="1"/>
        <v>2.2795157026575481</v>
      </c>
      <c r="G29" s="46">
        <f t="shared" si="4"/>
        <v>2.2795157026575481</v>
      </c>
      <c r="H29" s="46">
        <f t="shared" si="2"/>
        <v>5.1961918386623349</v>
      </c>
      <c r="I29" s="20">
        <f t="shared" si="3"/>
        <v>7.3532764601856385E-2</v>
      </c>
    </row>
    <row r="30" spans="1:9" x14ac:dyDescent="0.25">
      <c r="A30" s="115"/>
      <c r="B30" s="43">
        <v>44440</v>
      </c>
      <c r="C30" s="7">
        <f>IF($B$6="Product A",'Actual Demand Database'!C22,IF($B$6="Product B",'Actual Demand Database'!D22,IF($B$6="Product C",'Actual Demand Database'!E22,IF($B$6="Product D",'Actual Demand Database'!F22,"N/A"))))</f>
        <v>5</v>
      </c>
      <c r="D30" s="46">
        <f t="shared" si="0"/>
        <v>30.544096859468489</v>
      </c>
      <c r="E30" s="117"/>
      <c r="F30" s="1">
        <f t="shared" si="1"/>
        <v>-25.544096859468489</v>
      </c>
      <c r="G30" s="46">
        <f t="shared" si="4"/>
        <v>25.544096859468489</v>
      </c>
      <c r="H30" s="46">
        <f t="shared" si="2"/>
        <v>652.50088436590795</v>
      </c>
      <c r="I30" s="20">
        <f t="shared" si="3"/>
        <v>5.1088193718936976</v>
      </c>
    </row>
    <row r="31" spans="1:9" x14ac:dyDescent="0.25">
      <c r="A31" s="115"/>
      <c r="B31" s="43">
        <v>44470</v>
      </c>
      <c r="C31" s="7">
        <f>IF($B$6="Product A",'Actual Demand Database'!C23,IF($B$6="Product B",'Actual Demand Database'!D23,IF($B$6="Product C",'Actual Demand Database'!E23,IF($B$6="Product D",'Actual Demand Database'!F23,"N/A"))))</f>
        <v>6</v>
      </c>
      <c r="D31" s="46">
        <f t="shared" si="0"/>
        <v>10.108819371893697</v>
      </c>
      <c r="E31" s="117"/>
      <c r="F31" s="1">
        <f t="shared" si="1"/>
        <v>-4.1088193718936967</v>
      </c>
      <c r="G31" s="46">
        <f t="shared" si="4"/>
        <v>4.1088193718936967</v>
      </c>
      <c r="H31" s="46">
        <f t="shared" si="2"/>
        <v>16.882396630848913</v>
      </c>
      <c r="I31" s="20">
        <f t="shared" si="3"/>
        <v>0.68480322864894949</v>
      </c>
    </row>
    <row r="32" spans="1:9" x14ac:dyDescent="0.25">
      <c r="A32" s="115"/>
      <c r="B32" s="43">
        <v>44501</v>
      </c>
      <c r="C32" s="7">
        <f>IF($B$6="Product A",'Actual Demand Database'!C24,IF($B$6="Product B",'Actual Demand Database'!D24,IF($B$6="Product C",'Actual Demand Database'!E24,IF($B$6="Product D",'Actual Demand Database'!F24,"N/A"))))</f>
        <v>4</v>
      </c>
      <c r="D32" s="46">
        <f t="shared" si="0"/>
        <v>6.821763874378739</v>
      </c>
      <c r="E32" s="117"/>
      <c r="F32" s="1">
        <f t="shared" si="1"/>
        <v>-2.821763874378739</v>
      </c>
      <c r="G32" s="46">
        <f t="shared" si="4"/>
        <v>2.821763874378739</v>
      </c>
      <c r="H32" s="46">
        <f t="shared" si="2"/>
        <v>7.9623513627489118</v>
      </c>
      <c r="I32" s="20">
        <f t="shared" si="3"/>
        <v>0.70544096859468475</v>
      </c>
    </row>
    <row r="33" spans="1:9" x14ac:dyDescent="0.25">
      <c r="A33" s="115"/>
      <c r="B33" s="43">
        <v>44531</v>
      </c>
      <c r="C33" s="7">
        <f>IF($B$6="Product A",'Actual Demand Database'!C25,IF($B$6="Product B",'Actual Demand Database'!D25,IF($B$6="Product C",'Actual Demand Database'!E25,IF($B$6="Product D",'Actual Demand Database'!F25,"N/A"))))</f>
        <v>22</v>
      </c>
      <c r="D33" s="46">
        <f t="shared" si="0"/>
        <v>4.564352774875748</v>
      </c>
      <c r="E33" s="117"/>
      <c r="F33" s="1">
        <f t="shared" si="1"/>
        <v>17.435647225124253</v>
      </c>
      <c r="G33" s="46">
        <f t="shared" si="4"/>
        <v>17.435647225124253</v>
      </c>
      <c r="H33" s="46">
        <f t="shared" si="2"/>
        <v>304.00179415898305</v>
      </c>
      <c r="I33" s="20">
        <f t="shared" si="3"/>
        <v>0.7925294193238297</v>
      </c>
    </row>
    <row r="34" spans="1:9" x14ac:dyDescent="0.25">
      <c r="A34" s="115">
        <v>2022</v>
      </c>
      <c r="B34" s="43">
        <v>44562</v>
      </c>
      <c r="C34" s="7">
        <f>IF($B$6="Product A",'Actual Demand Database'!C26,IF($B$6="Product B",'Actual Demand Database'!D26,IF($B$6="Product C",'Actual Demand Database'!E26,IF($B$6="Product D",'Actual Demand Database'!F26,"N/A"))))</f>
        <v>3</v>
      </c>
      <c r="D34" s="46">
        <f t="shared" si="0"/>
        <v>18.512870554975152</v>
      </c>
      <c r="E34" s="117"/>
      <c r="F34" s="1">
        <f t="shared" si="1"/>
        <v>-15.512870554975152</v>
      </c>
      <c r="G34" s="46">
        <f t="shared" si="4"/>
        <v>15.512870554975152</v>
      </c>
      <c r="H34" s="46">
        <f t="shared" si="2"/>
        <v>240.64915285541505</v>
      </c>
      <c r="I34" s="20">
        <f t="shared" si="3"/>
        <v>5.1709568516583841</v>
      </c>
    </row>
    <row r="35" spans="1:9" x14ac:dyDescent="0.25">
      <c r="A35" s="115"/>
      <c r="B35" s="43">
        <v>44593</v>
      </c>
      <c r="C35" s="7">
        <f>IF($B$6="Product A",'Actual Demand Database'!C27,IF($B$6="Product B",'Actual Demand Database'!D27,IF($B$6="Product C",'Actual Demand Database'!E27,IF($B$6="Product D",'Actual Demand Database'!F27,"N/A"))))</f>
        <v>6</v>
      </c>
      <c r="D35" s="46">
        <f t="shared" si="0"/>
        <v>6.1025741109950298</v>
      </c>
      <c r="E35" s="117"/>
      <c r="F35" s="1">
        <f t="shared" si="1"/>
        <v>-0.10257411099502978</v>
      </c>
      <c r="G35" s="46">
        <f t="shared" si="4"/>
        <v>0.10257411099502978</v>
      </c>
      <c r="H35" s="46">
        <f t="shared" si="2"/>
        <v>1.0521448246420689E-2</v>
      </c>
      <c r="I35" s="20">
        <f t="shared" si="3"/>
        <v>1.7095685165838297E-2</v>
      </c>
    </row>
    <row r="36" spans="1:9" x14ac:dyDescent="0.25">
      <c r="A36" s="115"/>
      <c r="B36" s="43">
        <v>44621</v>
      </c>
      <c r="C36" s="7">
        <f>IF($B$6="Product A",'Actual Demand Database'!C28,IF($B$6="Product B",'Actual Demand Database'!D28,IF($B$6="Product C",'Actual Demand Database'!E28,IF($B$6="Product D",'Actual Demand Database'!F28,"N/A"))))</f>
        <v>45</v>
      </c>
      <c r="D36" s="46">
        <f t="shared" si="0"/>
        <v>6.0205148221990061</v>
      </c>
      <c r="E36" s="117"/>
      <c r="F36" s="1">
        <f t="shared" si="1"/>
        <v>38.979485177800996</v>
      </c>
      <c r="G36" s="46">
        <f t="shared" si="4"/>
        <v>38.979485177800996</v>
      </c>
      <c r="H36" s="46">
        <f t="shared" si="2"/>
        <v>1519.4002647264076</v>
      </c>
      <c r="I36" s="20">
        <f t="shared" si="3"/>
        <v>0.86621078172891097</v>
      </c>
    </row>
    <row r="37" spans="1:9" x14ac:dyDescent="0.25">
      <c r="A37" s="115"/>
      <c r="B37" s="43">
        <v>44652</v>
      </c>
      <c r="C37" s="7">
        <f>IF($B$6="Product A",'Actual Demand Database'!C29,IF($B$6="Product B",'Actual Demand Database'!D29,IF($B$6="Product C",'Actual Demand Database'!E29,IF($B$6="Product D",'Actual Demand Database'!F29,"N/A"))))</f>
        <v>14</v>
      </c>
      <c r="D37" s="46">
        <f t="shared" si="0"/>
        <v>37.204102964439798</v>
      </c>
      <c r="E37" s="117"/>
      <c r="F37" s="1">
        <f t="shared" si="1"/>
        <v>-23.204102964439798</v>
      </c>
      <c r="G37" s="46">
        <f t="shared" si="4"/>
        <v>23.204102964439798</v>
      </c>
      <c r="H37" s="46">
        <f t="shared" si="2"/>
        <v>538.43039438432379</v>
      </c>
      <c r="I37" s="20">
        <f t="shared" si="3"/>
        <v>1.6574359260314142</v>
      </c>
    </row>
    <row r="38" spans="1:9" ht="15.75" thickBot="1" x14ac:dyDescent="0.3">
      <c r="A38" s="115"/>
      <c r="B38" s="52">
        <v>44682</v>
      </c>
      <c r="C38" s="8">
        <f>IF($B$6="Product A",'Actual Demand Database'!C30,IF($B$6="Product B",'Actual Demand Database'!D30,IF($B$6="Product C",'Actual Demand Database'!E30,IF($B$6="Product D",'Actual Demand Database'!F30,"N/A"))))</f>
        <v>40</v>
      </c>
      <c r="D38" s="48">
        <f t="shared" si="0"/>
        <v>18.640820592887959</v>
      </c>
      <c r="E38" s="118"/>
      <c r="F38" s="5">
        <f t="shared" si="1"/>
        <v>21.359179407112041</v>
      </c>
      <c r="G38" s="48">
        <f t="shared" si="4"/>
        <v>21.359179407112041</v>
      </c>
      <c r="H38" s="48">
        <f t="shared" si="2"/>
        <v>456.21454494519907</v>
      </c>
      <c r="I38" s="30">
        <f t="shared" si="3"/>
        <v>0.53397948517780103</v>
      </c>
    </row>
    <row r="39" spans="1:9" x14ac:dyDescent="0.25">
      <c r="A39" s="115"/>
      <c r="B39" s="50">
        <v>44713</v>
      </c>
      <c r="C39" s="27">
        <f>IF($B$6="Product A",'Actual Demand Database'!C31,IF($B$6="Product B",'Actual Demand Database'!D31,IF($B$6="Product C",'Actual Demand Database'!E31,IF($B$6="Product D",'Actual Demand Database'!F31,"N/A"))))</f>
        <v>13</v>
      </c>
      <c r="D39" s="51">
        <f t="shared" si="0"/>
        <v>35.728164118577588</v>
      </c>
      <c r="E39" s="49"/>
      <c r="F39" s="49">
        <f t="shared" si="1"/>
        <v>-22.728164118577588</v>
      </c>
      <c r="G39" s="49">
        <f t="shared" si="4"/>
        <v>22.728164118577588</v>
      </c>
      <c r="H39" s="49">
        <f t="shared" si="2"/>
        <v>516.56944420099774</v>
      </c>
      <c r="I39" s="29">
        <f t="shared" si="3"/>
        <v>1.7483203168136607</v>
      </c>
    </row>
    <row r="40" spans="1:9" x14ac:dyDescent="0.25">
      <c r="A40" s="115"/>
      <c r="B40" s="43">
        <v>44743</v>
      </c>
      <c r="C40" s="13">
        <f>IF($B$6="Product A",'Actual Demand Database'!C32,IF($B$6="Product B",'Actual Demand Database'!D32,IF($B$6="Product C",'Actual Demand Database'!E32,IF($B$6="Product D",'Actual Demand Database'!F32,"N/A"))))</f>
        <v>44</v>
      </c>
      <c r="D40" s="46">
        <f>($E$2*C39)+(1-$E$2)*D39</f>
        <v>17.545632823715515</v>
      </c>
      <c r="E40" s="47"/>
      <c r="F40" s="6">
        <f t="shared" si="1"/>
        <v>26.454367176284485</v>
      </c>
      <c r="G40" s="49">
        <f t="shared" si="4"/>
        <v>26.454367176284485</v>
      </c>
      <c r="H40" s="49">
        <f t="shared" si="2"/>
        <v>699.83354269767801</v>
      </c>
      <c r="I40" s="29">
        <f t="shared" ref="I40:I45" si="5">(G40/C40)</f>
        <v>0.60123561764282918</v>
      </c>
    </row>
    <row r="41" spans="1:9" x14ac:dyDescent="0.25">
      <c r="A41" s="115"/>
      <c r="B41" s="43">
        <v>44774</v>
      </c>
      <c r="C41" s="13">
        <f>IF($B$6="Product A",'Actual Demand Database'!C33,IF($B$6="Product B",'Actual Demand Database'!D33,IF($B$6="Product C",'Actual Demand Database'!E33,IF($B$6="Product D",'Actual Demand Database'!F33,"N/A"))))</f>
        <v>42</v>
      </c>
      <c r="D41" s="46">
        <f t="shared" si="0"/>
        <v>38.709126564743102</v>
      </c>
      <c r="E41" s="47"/>
      <c r="F41" s="6">
        <f t="shared" ref="F41:F45" si="6">C41-D41</f>
        <v>3.2908734352568985</v>
      </c>
      <c r="G41" s="49">
        <f t="shared" si="4"/>
        <v>3.2908734352568985</v>
      </c>
      <c r="H41" s="49">
        <f t="shared" si="2"/>
        <v>10.829847966879539</v>
      </c>
      <c r="I41" s="29">
        <f t="shared" si="5"/>
        <v>7.8354129410878534E-2</v>
      </c>
    </row>
    <row r="42" spans="1:9" x14ac:dyDescent="0.25">
      <c r="A42" s="115"/>
      <c r="B42" s="43">
        <v>44805</v>
      </c>
      <c r="C42" s="13">
        <f>IF($B$6="Product A",'Actual Demand Database'!C34,IF($B$6="Product B",'Actual Demand Database'!D34,IF($B$6="Product C",'Actual Demand Database'!E34,IF($B$6="Product D",'Actual Demand Database'!F34,"N/A"))))</f>
        <v>47</v>
      </c>
      <c r="D42" s="46">
        <f t="shared" si="0"/>
        <v>41.341825312948622</v>
      </c>
      <c r="E42" s="47"/>
      <c r="F42" s="6">
        <f t="shared" si="6"/>
        <v>5.6581746870513783</v>
      </c>
      <c r="G42" s="49">
        <f t="shared" si="4"/>
        <v>5.6581746870513783</v>
      </c>
      <c r="H42" s="49">
        <f t="shared" si="2"/>
        <v>32.014940789188962</v>
      </c>
      <c r="I42" s="29">
        <f t="shared" si="5"/>
        <v>0.12038669546917827</v>
      </c>
    </row>
    <row r="43" spans="1:9" x14ac:dyDescent="0.25">
      <c r="A43" s="115"/>
      <c r="B43" s="43">
        <v>44835</v>
      </c>
      <c r="C43" s="13">
        <f>IF($B$6="Product A",'Actual Demand Database'!C35,IF($B$6="Product B",'Actual Demand Database'!D35,IF($B$6="Product C",'Actual Demand Database'!E35,IF($B$6="Product D",'Actual Demand Database'!F35,"N/A"))))</f>
        <v>48</v>
      </c>
      <c r="D43" s="46">
        <f t="shared" si="0"/>
        <v>45.868365062589724</v>
      </c>
      <c r="E43" s="47"/>
      <c r="F43" s="6">
        <f t="shared" si="6"/>
        <v>2.1316349374102757</v>
      </c>
      <c r="G43" s="49">
        <f t="shared" si="4"/>
        <v>2.1316349374102757</v>
      </c>
      <c r="H43" s="49">
        <f t="shared" si="2"/>
        <v>4.5438675063881098</v>
      </c>
      <c r="I43" s="29">
        <f t="shared" si="5"/>
        <v>4.4409061196047407E-2</v>
      </c>
    </row>
    <row r="44" spans="1:9" x14ac:dyDescent="0.25">
      <c r="A44" s="115"/>
      <c r="B44" s="43">
        <v>44866</v>
      </c>
      <c r="C44" s="13">
        <f>IF($B$6="Product A",'Actual Demand Database'!C36,IF($B$6="Product B",'Actual Demand Database'!D36,IF($B$6="Product C",'Actual Demand Database'!E36,IF($B$6="Product D",'Actual Demand Database'!F36,"N/A"))))</f>
        <v>8</v>
      </c>
      <c r="D44" s="46">
        <f t="shared" si="0"/>
        <v>47.573673012517951</v>
      </c>
      <c r="E44" s="47"/>
      <c r="F44" s="6">
        <f t="shared" si="6"/>
        <v>-39.573673012517951</v>
      </c>
      <c r="G44" s="49">
        <f t="shared" si="4"/>
        <v>39.573673012517951</v>
      </c>
      <c r="H44" s="49">
        <f t="shared" si="2"/>
        <v>1566.0755957016916</v>
      </c>
      <c r="I44" s="29">
        <f t="shared" si="5"/>
        <v>4.9467091265647438</v>
      </c>
    </row>
    <row r="45" spans="1:9" x14ac:dyDescent="0.25">
      <c r="A45" s="115"/>
      <c r="B45" s="43">
        <v>44896</v>
      </c>
      <c r="C45" s="13">
        <f>IF($B$6="Product A",'Actual Demand Database'!C37,IF($B$6="Product B",'Actual Demand Database'!D37,IF($B$6="Product C",'Actual Demand Database'!E37,IF($B$6="Product D",'Actual Demand Database'!F37,"N/A"))))</f>
        <v>30</v>
      </c>
      <c r="D45" s="46">
        <f t="shared" si="0"/>
        <v>15.914734602503588</v>
      </c>
      <c r="E45" s="47"/>
      <c r="F45" s="6">
        <f t="shared" si="6"/>
        <v>14.085265397496412</v>
      </c>
      <c r="G45" s="49">
        <f t="shared" si="4"/>
        <v>14.085265397496412</v>
      </c>
      <c r="H45" s="49">
        <f t="shared" si="2"/>
        <v>198.39470131790978</v>
      </c>
      <c r="I45" s="29">
        <f t="shared" si="5"/>
        <v>0.46950884658321373</v>
      </c>
    </row>
    <row r="46" spans="1:9" ht="15.75" thickBot="1" x14ac:dyDescent="0.3">
      <c r="A46" s="9">
        <v>2023</v>
      </c>
      <c r="B46" s="44">
        <v>44927</v>
      </c>
      <c r="C46" s="11"/>
      <c r="D46" s="11">
        <f t="shared" si="0"/>
        <v>27.182946920500719</v>
      </c>
      <c r="E46" s="10"/>
      <c r="F46" s="10"/>
      <c r="G46" s="10"/>
      <c r="H46" s="10"/>
      <c r="I46" s="12"/>
    </row>
  </sheetData>
  <mergeCells count="5">
    <mergeCell ref="A1:V1"/>
    <mergeCell ref="A10:A21"/>
    <mergeCell ref="E10:E38"/>
    <mergeCell ref="A22:A33"/>
    <mergeCell ref="A34:A4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05A540-C836-47B1-95D0-ADCF3396ACCE}">
          <x14:formula1>
            <xm:f>'Actual Demand Database'!$C$1:$F$1</xm:f>
          </x14:formula1>
          <xm:sqref>B6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8AE4-B7AE-4529-8BF7-ED5DFAF8C805}">
  <dimension ref="A1:V85"/>
  <sheetViews>
    <sheetView topLeftCell="B1" workbookViewId="0">
      <selection activeCell="B6" sqref="B6"/>
    </sheetView>
  </sheetViews>
  <sheetFormatPr defaultRowHeight="15" x14ac:dyDescent="0.25"/>
  <cols>
    <col min="1" max="1" width="12.42578125" bestFit="1" customWidth="1"/>
    <col min="2" max="2" width="15.5703125" bestFit="1" customWidth="1"/>
    <col min="3" max="3" width="16.7109375" bestFit="1" customWidth="1"/>
    <col min="4" max="4" width="14.85546875" bestFit="1" customWidth="1"/>
    <col min="5" max="5" width="23.42578125" bestFit="1" customWidth="1"/>
    <col min="6" max="6" width="15.85546875" bestFit="1" customWidth="1"/>
    <col min="7" max="7" width="13.85546875" bestFit="1" customWidth="1"/>
    <col min="8" max="8" width="28" bestFit="1" customWidth="1"/>
    <col min="9" max="9" width="17.28515625" bestFit="1" customWidth="1"/>
    <col min="10" max="10" width="46" bestFit="1" customWidth="1"/>
    <col min="11" max="11" width="32.28515625" bestFit="1" customWidth="1"/>
  </cols>
  <sheetData>
    <row r="1" spans="1:22" s="14" customFormat="1" ht="21.75" thickBot="1" x14ac:dyDescent="0.4">
      <c r="A1" s="114" t="s">
        <v>19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</row>
    <row r="2" spans="1:22" ht="15.75" thickBot="1" x14ac:dyDescent="0.3">
      <c r="A2" s="15" t="s">
        <v>7</v>
      </c>
      <c r="B2" s="16">
        <f>AVERAGE(H10:H45)</f>
        <v>24.970588235294116</v>
      </c>
      <c r="D2" s="86" t="s">
        <v>98</v>
      </c>
      <c r="E2" s="95">
        <v>-1.4853944839898847</v>
      </c>
      <c r="F2" s="93"/>
      <c r="G2" s="93"/>
    </row>
    <row r="3" spans="1:22" ht="19.5" thickBot="1" x14ac:dyDescent="0.35">
      <c r="A3" s="2" t="s">
        <v>8</v>
      </c>
      <c r="B3" s="3">
        <f>AVERAGE(I39:I45)</f>
        <v>1435.1428571428571</v>
      </c>
      <c r="D3" s="94" t="s">
        <v>25</v>
      </c>
      <c r="E3" s="96">
        <v>-0.32960231321532307</v>
      </c>
      <c r="F3" s="93"/>
      <c r="G3" s="81" t="s">
        <v>70</v>
      </c>
      <c r="H3" s="83">
        <f>'Measures of Errors'!B1</f>
        <v>17.022520359964297</v>
      </c>
    </row>
    <row r="4" spans="1:22" ht="19.5" thickBot="1" x14ac:dyDescent="0.35">
      <c r="A4" s="17" t="s">
        <v>9</v>
      </c>
      <c r="B4" s="41">
        <f>AVERAGE(J39:J45)</f>
        <v>1.7942067178009429</v>
      </c>
      <c r="G4" s="82" t="s">
        <v>69</v>
      </c>
      <c r="H4" s="85" t="str">
        <f>'Measures of Errors'!B2</f>
        <v>Exponential Smoothing</v>
      </c>
    </row>
    <row r="5" spans="1:22" ht="15.75" thickBot="1" x14ac:dyDescent="0.3">
      <c r="D5" s="18" t="s">
        <v>100</v>
      </c>
      <c r="E5" s="19" t="s">
        <v>101</v>
      </c>
    </row>
    <row r="6" spans="1:22" ht="24" thickBot="1" x14ac:dyDescent="0.4">
      <c r="A6" s="31" t="s">
        <v>10</v>
      </c>
      <c r="B6" s="32" t="s">
        <v>2</v>
      </c>
    </row>
    <row r="8" spans="1:22" ht="15.75" thickBot="1" x14ac:dyDescent="0.3"/>
    <row r="9" spans="1:22" x14ac:dyDescent="0.25">
      <c r="A9" s="22" t="s">
        <v>0</v>
      </c>
      <c r="B9" s="23" t="s">
        <v>11</v>
      </c>
      <c r="C9" s="23" t="s">
        <v>17</v>
      </c>
      <c r="D9" s="23" t="s">
        <v>71</v>
      </c>
      <c r="E9" s="88" t="s">
        <v>99</v>
      </c>
      <c r="F9" s="23" t="s">
        <v>16</v>
      </c>
      <c r="G9" s="23" t="s">
        <v>12</v>
      </c>
      <c r="H9" s="23" t="s">
        <v>13</v>
      </c>
      <c r="I9" s="23" t="s">
        <v>14</v>
      </c>
      <c r="J9" s="24" t="s">
        <v>15</v>
      </c>
    </row>
    <row r="10" spans="1:22" x14ac:dyDescent="0.25">
      <c r="A10" s="115">
        <v>2020</v>
      </c>
      <c r="B10" s="43">
        <f>'Naive Forecasts'!B10</f>
        <v>43831</v>
      </c>
      <c r="C10" s="7">
        <f>IF($B$6="Product A",'Actual Demand Database'!C2,IF($B$6="Product B",'Actual Demand Database'!D2,IF($B$6="Product C",'Actual Demand Database'!E2,IF($B$6="Product D",'Actual Demand Database'!F2,"N/A"))))</f>
        <v>6</v>
      </c>
      <c r="D10" s="1">
        <v>0</v>
      </c>
      <c r="E10" s="97">
        <f>C10</f>
        <v>6</v>
      </c>
      <c r="F10" s="116"/>
      <c r="G10" s="1"/>
      <c r="H10" s="1"/>
      <c r="I10" s="1"/>
      <c r="J10" s="3"/>
    </row>
    <row r="11" spans="1:22" x14ac:dyDescent="0.25">
      <c r="A11" s="115"/>
      <c r="B11" s="43">
        <f>'Naive Forecasts'!B11</f>
        <v>43862</v>
      </c>
      <c r="C11" s="7">
        <f>IF($B$6="Product A",'Actual Demand Database'!C3,IF($B$6="Product B",'Actual Demand Database'!D3,IF($B$6="Product C",'Actual Demand Database'!E3,IF($B$6="Product D",'Actual Demand Database'!F3,"N/A"))))</f>
        <v>3</v>
      </c>
      <c r="D11" s="1">
        <f>C11-C10</f>
        <v>-3</v>
      </c>
      <c r="E11" s="97">
        <f>C11</f>
        <v>3</v>
      </c>
      <c r="F11" s="117"/>
      <c r="G11" s="1"/>
      <c r="H11" s="1"/>
      <c r="I11" s="1"/>
      <c r="J11" s="20"/>
    </row>
    <row r="12" spans="1:22" x14ac:dyDescent="0.25">
      <c r="A12" s="115"/>
      <c r="B12" s="43">
        <f>'Naive Forecasts'!B12</f>
        <v>43891</v>
      </c>
      <c r="C12" s="7">
        <f>IF($B$6="Product A",'Actual Demand Database'!C4,IF($B$6="Product B",'Actual Demand Database'!D4,IF($B$6="Product C",'Actual Demand Database'!E4,IF($B$6="Product D",'Actual Demand Database'!F4,"N/A"))))</f>
        <v>44</v>
      </c>
      <c r="D12" s="1">
        <f t="shared" ref="D12:D46" si="0">C12-C11</f>
        <v>41</v>
      </c>
      <c r="E12" s="46">
        <f>$E$2+C11+$E$3*(C11-C10)</f>
        <v>2.5034124556560844</v>
      </c>
      <c r="F12" s="117"/>
      <c r="G12" s="1">
        <f t="shared" ref="G12:G45" si="1">C12-D12</f>
        <v>3</v>
      </c>
      <c r="H12" s="1">
        <f t="shared" ref="H12:H45" si="2">ABS(G12)</f>
        <v>3</v>
      </c>
      <c r="I12" s="1">
        <f t="shared" ref="I12:I44" si="3">G12^2</f>
        <v>9</v>
      </c>
      <c r="J12" s="20">
        <f t="shared" ref="J12:J45" si="4">(H12/C12)</f>
        <v>6.8181818181818177E-2</v>
      </c>
    </row>
    <row r="13" spans="1:22" x14ac:dyDescent="0.25">
      <c r="A13" s="115"/>
      <c r="B13" s="43">
        <f>'Naive Forecasts'!B13</f>
        <v>43922</v>
      </c>
      <c r="C13" s="7">
        <f>IF($B$6="Product A",'Actual Demand Database'!C5,IF($B$6="Product B",'Actual Demand Database'!D5,IF($B$6="Product C",'Actual Demand Database'!E5,IF($B$6="Product D",'Actual Demand Database'!F5,"N/A"))))</f>
        <v>26</v>
      </c>
      <c r="D13" s="1">
        <f t="shared" si="0"/>
        <v>-18</v>
      </c>
      <c r="E13" s="46">
        <f t="shared" ref="E13:E46" si="5">$E$2+C12+$E$3*(C12-C11)</f>
        <v>29.000910674181867</v>
      </c>
      <c r="F13" s="117"/>
      <c r="G13" s="1">
        <f t="shared" si="1"/>
        <v>44</v>
      </c>
      <c r="H13" s="1">
        <f t="shared" si="2"/>
        <v>44</v>
      </c>
      <c r="I13" s="1">
        <f t="shared" si="3"/>
        <v>1936</v>
      </c>
      <c r="J13" s="20">
        <f t="shared" si="4"/>
        <v>1.6923076923076923</v>
      </c>
    </row>
    <row r="14" spans="1:22" x14ac:dyDescent="0.25">
      <c r="A14" s="115"/>
      <c r="B14" s="43">
        <f>'Naive Forecasts'!B14</f>
        <v>43952</v>
      </c>
      <c r="C14" s="7">
        <f>IF($B$6="Product A",'Actual Demand Database'!C6,IF($B$6="Product B",'Actual Demand Database'!D6,IF($B$6="Product C",'Actual Demand Database'!E6,IF($B$6="Product D",'Actual Demand Database'!F6,"N/A"))))</f>
        <v>46</v>
      </c>
      <c r="D14" s="1">
        <f t="shared" si="0"/>
        <v>20</v>
      </c>
      <c r="E14" s="46">
        <f t="shared" si="5"/>
        <v>30.447447153885928</v>
      </c>
      <c r="F14" s="117"/>
      <c r="G14" s="1">
        <f t="shared" si="1"/>
        <v>26</v>
      </c>
      <c r="H14" s="1">
        <f t="shared" si="2"/>
        <v>26</v>
      </c>
      <c r="I14" s="1">
        <f t="shared" si="3"/>
        <v>676</v>
      </c>
      <c r="J14" s="20">
        <f t="shared" si="4"/>
        <v>0.56521739130434778</v>
      </c>
    </row>
    <row r="15" spans="1:22" x14ac:dyDescent="0.25">
      <c r="A15" s="115"/>
      <c r="B15" s="43">
        <f>'Naive Forecasts'!B15</f>
        <v>43983</v>
      </c>
      <c r="C15" s="7">
        <f>IF($B$6="Product A",'Actual Demand Database'!C7,IF($B$6="Product B",'Actual Demand Database'!D7,IF($B$6="Product C",'Actual Demand Database'!E7,IF($B$6="Product D",'Actual Demand Database'!F7,"N/A"))))</f>
        <v>41</v>
      </c>
      <c r="D15" s="1">
        <f t="shared" si="0"/>
        <v>-5</v>
      </c>
      <c r="E15" s="46">
        <f t="shared" si="5"/>
        <v>37.922559251703653</v>
      </c>
      <c r="F15" s="117"/>
      <c r="G15" s="1">
        <f t="shared" si="1"/>
        <v>46</v>
      </c>
      <c r="H15" s="1">
        <f t="shared" si="2"/>
        <v>46</v>
      </c>
      <c r="I15" s="1">
        <f t="shared" si="3"/>
        <v>2116</v>
      </c>
      <c r="J15" s="20">
        <f t="shared" si="4"/>
        <v>1.1219512195121952</v>
      </c>
    </row>
    <row r="16" spans="1:22" x14ac:dyDescent="0.25">
      <c r="A16" s="115"/>
      <c r="B16" s="43">
        <f>'Naive Forecasts'!B16</f>
        <v>44013</v>
      </c>
      <c r="C16" s="7">
        <f>IF($B$6="Product A",'Actual Demand Database'!C8,IF($B$6="Product B",'Actual Demand Database'!D8,IF($B$6="Product C",'Actual Demand Database'!E8,IF($B$6="Product D",'Actual Demand Database'!F8,"N/A"))))</f>
        <v>28</v>
      </c>
      <c r="D16" s="1">
        <f t="shared" si="0"/>
        <v>-13</v>
      </c>
      <c r="E16" s="46">
        <f t="shared" si="5"/>
        <v>41.162617082086726</v>
      </c>
      <c r="F16" s="117"/>
      <c r="G16" s="1">
        <f t="shared" si="1"/>
        <v>41</v>
      </c>
      <c r="H16" s="1">
        <f t="shared" si="2"/>
        <v>41</v>
      </c>
      <c r="I16" s="1">
        <f t="shared" si="3"/>
        <v>1681</v>
      </c>
      <c r="J16" s="20">
        <f t="shared" si="4"/>
        <v>1.4642857142857142</v>
      </c>
    </row>
    <row r="17" spans="1:10" x14ac:dyDescent="0.25">
      <c r="A17" s="115"/>
      <c r="B17" s="43">
        <f>'Naive Forecasts'!B17</f>
        <v>44044</v>
      </c>
      <c r="C17" s="7">
        <f>IF($B$6="Product A",'Actual Demand Database'!C9,IF($B$6="Product B",'Actual Demand Database'!D9,IF($B$6="Product C",'Actual Demand Database'!E9,IF($B$6="Product D",'Actual Demand Database'!F9,"N/A"))))</f>
        <v>14</v>
      </c>
      <c r="D17" s="1">
        <f t="shared" si="0"/>
        <v>-14</v>
      </c>
      <c r="E17" s="46">
        <f t="shared" si="5"/>
        <v>30.799435587809313</v>
      </c>
      <c r="F17" s="117"/>
      <c r="G17" s="1">
        <f t="shared" si="1"/>
        <v>28</v>
      </c>
      <c r="H17" s="1">
        <f t="shared" si="2"/>
        <v>28</v>
      </c>
      <c r="I17" s="1">
        <f t="shared" si="3"/>
        <v>784</v>
      </c>
      <c r="J17" s="20">
        <f t="shared" si="4"/>
        <v>2</v>
      </c>
    </row>
    <row r="18" spans="1:10" x14ac:dyDescent="0.25">
      <c r="A18" s="115"/>
      <c r="B18" s="43">
        <f>'Naive Forecasts'!B18</f>
        <v>44075</v>
      </c>
      <c r="C18" s="7">
        <f>IF($B$6="Product A",'Actual Demand Database'!C10,IF($B$6="Product B",'Actual Demand Database'!D10,IF($B$6="Product C",'Actual Demand Database'!E10,IF($B$6="Product D",'Actual Demand Database'!F10,"N/A"))))</f>
        <v>30</v>
      </c>
      <c r="D18" s="1">
        <f t="shared" si="0"/>
        <v>16</v>
      </c>
      <c r="E18" s="46">
        <f t="shared" si="5"/>
        <v>17.129037901024638</v>
      </c>
      <c r="F18" s="117"/>
      <c r="G18" s="1">
        <f t="shared" si="1"/>
        <v>14</v>
      </c>
      <c r="H18" s="1">
        <f t="shared" si="2"/>
        <v>14</v>
      </c>
      <c r="I18" s="1">
        <f t="shared" si="3"/>
        <v>196</v>
      </c>
      <c r="J18" s="20">
        <f t="shared" si="4"/>
        <v>0.46666666666666667</v>
      </c>
    </row>
    <row r="19" spans="1:10" x14ac:dyDescent="0.25">
      <c r="A19" s="115"/>
      <c r="B19" s="43">
        <f>'Naive Forecasts'!B19</f>
        <v>44105</v>
      </c>
      <c r="C19" s="7">
        <f>IF($B$6="Product A",'Actual Demand Database'!C11,IF($B$6="Product B",'Actual Demand Database'!D11,IF($B$6="Product C",'Actual Demand Database'!E11,IF($B$6="Product D",'Actual Demand Database'!F11,"N/A"))))</f>
        <v>8</v>
      </c>
      <c r="D19" s="1">
        <f t="shared" si="0"/>
        <v>-22</v>
      </c>
      <c r="E19" s="46">
        <f t="shared" si="5"/>
        <v>23.240968504564947</v>
      </c>
      <c r="F19" s="117"/>
      <c r="G19" s="1">
        <f t="shared" si="1"/>
        <v>30</v>
      </c>
      <c r="H19" s="1">
        <f t="shared" si="2"/>
        <v>30</v>
      </c>
      <c r="I19" s="1">
        <f t="shared" si="3"/>
        <v>900</v>
      </c>
      <c r="J19" s="20">
        <f t="shared" si="4"/>
        <v>3.75</v>
      </c>
    </row>
    <row r="20" spans="1:10" x14ac:dyDescent="0.25">
      <c r="A20" s="115"/>
      <c r="B20" s="43">
        <f>'Naive Forecasts'!B20</f>
        <v>44136</v>
      </c>
      <c r="C20" s="7">
        <f>IF($B$6="Product A",'Actual Demand Database'!C12,IF($B$6="Product B",'Actual Demand Database'!D12,IF($B$6="Product C",'Actual Demand Database'!E12,IF($B$6="Product D",'Actual Demand Database'!F12,"N/A"))))</f>
        <v>46</v>
      </c>
      <c r="D20" s="1">
        <f t="shared" si="0"/>
        <v>38</v>
      </c>
      <c r="E20" s="46">
        <f t="shared" si="5"/>
        <v>13.765856406747222</v>
      </c>
      <c r="F20" s="117"/>
      <c r="G20" s="1">
        <f t="shared" si="1"/>
        <v>8</v>
      </c>
      <c r="H20" s="1">
        <f t="shared" si="2"/>
        <v>8</v>
      </c>
      <c r="I20" s="1">
        <f t="shared" si="3"/>
        <v>64</v>
      </c>
      <c r="J20" s="20">
        <f t="shared" si="4"/>
        <v>0.17391304347826086</v>
      </c>
    </row>
    <row r="21" spans="1:10" x14ac:dyDescent="0.25">
      <c r="A21" s="115"/>
      <c r="B21" s="43">
        <f>'Naive Forecasts'!B21</f>
        <v>44166</v>
      </c>
      <c r="C21" s="7">
        <f>IF($B$6="Product A",'Actual Demand Database'!C13,IF($B$6="Product B",'Actual Demand Database'!D13,IF($B$6="Product C",'Actual Demand Database'!E13,IF($B$6="Product D",'Actual Demand Database'!F13,"N/A"))))</f>
        <v>30</v>
      </c>
      <c r="D21" s="1">
        <f t="shared" si="0"/>
        <v>-16</v>
      </c>
      <c r="E21" s="46">
        <f t="shared" si="5"/>
        <v>31.989717613827835</v>
      </c>
      <c r="F21" s="117"/>
      <c r="G21" s="1">
        <f t="shared" si="1"/>
        <v>46</v>
      </c>
      <c r="H21" s="1">
        <f t="shared" si="2"/>
        <v>46</v>
      </c>
      <c r="I21" s="1">
        <f t="shared" si="3"/>
        <v>2116</v>
      </c>
      <c r="J21" s="20">
        <f t="shared" si="4"/>
        <v>1.5333333333333334</v>
      </c>
    </row>
    <row r="22" spans="1:10" x14ac:dyDescent="0.25">
      <c r="A22" s="115">
        <v>2021</v>
      </c>
      <c r="B22" s="43">
        <f>'Naive Forecasts'!B22</f>
        <v>44197</v>
      </c>
      <c r="C22" s="7">
        <f>IF($B$6="Product A",'Actual Demand Database'!C14,IF($B$6="Product B",'Actual Demand Database'!D14,IF($B$6="Product C",'Actual Demand Database'!E14,IF($B$6="Product D",'Actual Demand Database'!F14,"N/A"))))</f>
        <v>9</v>
      </c>
      <c r="D22" s="1">
        <f t="shared" si="0"/>
        <v>-21</v>
      </c>
      <c r="E22" s="46">
        <f t="shared" si="5"/>
        <v>33.788242527455282</v>
      </c>
      <c r="F22" s="117"/>
      <c r="G22" s="1">
        <f t="shared" si="1"/>
        <v>30</v>
      </c>
      <c r="H22" s="1">
        <f t="shared" si="2"/>
        <v>30</v>
      </c>
      <c r="I22" s="1">
        <f t="shared" si="3"/>
        <v>900</v>
      </c>
      <c r="J22" s="20">
        <f t="shared" si="4"/>
        <v>3.3333333333333335</v>
      </c>
    </row>
    <row r="23" spans="1:10" x14ac:dyDescent="0.25">
      <c r="A23" s="115"/>
      <c r="B23" s="43">
        <f>'Naive Forecasts'!B23</f>
        <v>44228</v>
      </c>
      <c r="C23" s="7">
        <f>IF($B$6="Product A",'Actual Demand Database'!C15,IF($B$6="Product B",'Actual Demand Database'!D15,IF($B$6="Product C",'Actual Demand Database'!E15,IF($B$6="Product D",'Actual Demand Database'!F15,"N/A"))))</f>
        <v>36</v>
      </c>
      <c r="D23" s="1">
        <f t="shared" si="0"/>
        <v>27</v>
      </c>
      <c r="E23" s="46">
        <f t="shared" si="5"/>
        <v>14.4362540935319</v>
      </c>
      <c r="F23" s="117"/>
      <c r="G23" s="1">
        <f t="shared" si="1"/>
        <v>9</v>
      </c>
      <c r="H23" s="1">
        <f t="shared" si="2"/>
        <v>9</v>
      </c>
      <c r="I23" s="1">
        <f t="shared" si="3"/>
        <v>81</v>
      </c>
      <c r="J23" s="20">
        <f t="shared" si="4"/>
        <v>0.25</v>
      </c>
    </row>
    <row r="24" spans="1:10" x14ac:dyDescent="0.25">
      <c r="A24" s="115"/>
      <c r="B24" s="43">
        <f>'Naive Forecasts'!B24</f>
        <v>44256</v>
      </c>
      <c r="C24" s="7">
        <f>IF($B$6="Product A",'Actual Demand Database'!C16,IF($B$6="Product B",'Actual Demand Database'!D16,IF($B$6="Product C",'Actual Demand Database'!E16,IF($B$6="Product D",'Actual Demand Database'!F16,"N/A"))))</f>
        <v>40</v>
      </c>
      <c r="D24" s="1">
        <f t="shared" si="0"/>
        <v>4</v>
      </c>
      <c r="E24" s="46">
        <f t="shared" si="5"/>
        <v>25.615343059196391</v>
      </c>
      <c r="F24" s="117"/>
      <c r="G24" s="1">
        <f t="shared" si="1"/>
        <v>36</v>
      </c>
      <c r="H24" s="1">
        <f t="shared" si="2"/>
        <v>36</v>
      </c>
      <c r="I24" s="1">
        <f t="shared" si="3"/>
        <v>1296</v>
      </c>
      <c r="J24" s="20">
        <f t="shared" si="4"/>
        <v>0.9</v>
      </c>
    </row>
    <row r="25" spans="1:10" x14ac:dyDescent="0.25">
      <c r="A25" s="115"/>
      <c r="B25" s="43">
        <f>'Naive Forecasts'!B25</f>
        <v>44287</v>
      </c>
      <c r="C25" s="7">
        <f>IF($B$6="Product A",'Actual Demand Database'!C17,IF($B$6="Product B",'Actual Demand Database'!D17,IF($B$6="Product C",'Actual Demand Database'!E17,IF($B$6="Product D",'Actual Demand Database'!F17,"N/A"))))</f>
        <v>3</v>
      </c>
      <c r="D25" s="1">
        <f t="shared" si="0"/>
        <v>-37</v>
      </c>
      <c r="E25" s="46">
        <f t="shared" si="5"/>
        <v>37.196196263148821</v>
      </c>
      <c r="F25" s="117"/>
      <c r="G25" s="1">
        <f t="shared" si="1"/>
        <v>40</v>
      </c>
      <c r="H25" s="1">
        <f t="shared" si="2"/>
        <v>40</v>
      </c>
      <c r="I25" s="1">
        <f t="shared" si="3"/>
        <v>1600</v>
      </c>
      <c r="J25" s="20">
        <f t="shared" si="4"/>
        <v>13.333333333333334</v>
      </c>
    </row>
    <row r="26" spans="1:10" x14ac:dyDescent="0.25">
      <c r="A26" s="115"/>
      <c r="B26" s="43">
        <f>'Naive Forecasts'!B26</f>
        <v>44317</v>
      </c>
      <c r="C26" s="7">
        <f>IF($B$6="Product A",'Actual Demand Database'!C18,IF($B$6="Product B",'Actual Demand Database'!D18,IF($B$6="Product C",'Actual Demand Database'!E18,IF($B$6="Product D",'Actual Demand Database'!F18,"N/A"))))</f>
        <v>25</v>
      </c>
      <c r="D26" s="1">
        <f t="shared" si="0"/>
        <v>22</v>
      </c>
      <c r="E26" s="46">
        <f t="shared" si="5"/>
        <v>13.70989110497707</v>
      </c>
      <c r="F26" s="117"/>
      <c r="G26" s="1">
        <f t="shared" si="1"/>
        <v>3</v>
      </c>
      <c r="H26" s="1">
        <f t="shared" si="2"/>
        <v>3</v>
      </c>
      <c r="I26" s="1">
        <f t="shared" si="3"/>
        <v>9</v>
      </c>
      <c r="J26" s="20">
        <f t="shared" si="4"/>
        <v>0.12</v>
      </c>
    </row>
    <row r="27" spans="1:10" x14ac:dyDescent="0.25">
      <c r="A27" s="115"/>
      <c r="B27" s="43">
        <f>'Naive Forecasts'!B27</f>
        <v>44348</v>
      </c>
      <c r="C27" s="7">
        <f>IF($B$6="Product A",'Actual Demand Database'!C19,IF($B$6="Product B",'Actual Demand Database'!D19,IF($B$6="Product C",'Actual Demand Database'!E19,IF($B$6="Product D",'Actual Demand Database'!F19,"N/A"))))</f>
        <v>9</v>
      </c>
      <c r="D27" s="1">
        <f t="shared" si="0"/>
        <v>-16</v>
      </c>
      <c r="E27" s="46">
        <f t="shared" si="5"/>
        <v>16.263354625273006</v>
      </c>
      <c r="F27" s="117"/>
      <c r="G27" s="1">
        <f t="shared" si="1"/>
        <v>25</v>
      </c>
      <c r="H27" s="1">
        <f t="shared" si="2"/>
        <v>25</v>
      </c>
      <c r="I27" s="1">
        <f t="shared" si="3"/>
        <v>625</v>
      </c>
      <c r="J27" s="20">
        <f t="shared" si="4"/>
        <v>2.7777777777777777</v>
      </c>
    </row>
    <row r="28" spans="1:10" x14ac:dyDescent="0.25">
      <c r="A28" s="115"/>
      <c r="B28" s="43">
        <f>'Naive Forecasts'!B28</f>
        <v>44378</v>
      </c>
      <c r="C28" s="7">
        <f>IF($B$6="Product A",'Actual Demand Database'!C20,IF($B$6="Product B",'Actual Demand Database'!D20,IF($B$6="Product C",'Actual Demand Database'!E20,IF($B$6="Product D",'Actual Demand Database'!F20,"N/A"))))</f>
        <v>33</v>
      </c>
      <c r="D28" s="1">
        <f t="shared" si="0"/>
        <v>24</v>
      </c>
      <c r="E28" s="46">
        <f t="shared" si="5"/>
        <v>12.788242527455285</v>
      </c>
      <c r="F28" s="117"/>
      <c r="G28" s="1">
        <f t="shared" si="1"/>
        <v>9</v>
      </c>
      <c r="H28" s="1">
        <f t="shared" si="2"/>
        <v>9</v>
      </c>
      <c r="I28" s="1">
        <f t="shared" si="3"/>
        <v>81</v>
      </c>
      <c r="J28" s="20">
        <f t="shared" si="4"/>
        <v>0.27272727272727271</v>
      </c>
    </row>
    <row r="29" spans="1:10" x14ac:dyDescent="0.25">
      <c r="A29" s="115"/>
      <c r="B29" s="43">
        <f>'Naive Forecasts'!B29</f>
        <v>44409</v>
      </c>
      <c r="C29" s="7">
        <f>IF($B$6="Product A",'Actual Demand Database'!C21,IF($B$6="Product B",'Actual Demand Database'!D21,IF($B$6="Product C",'Actual Demand Database'!E21,IF($B$6="Product D",'Actual Demand Database'!F21,"N/A"))))</f>
        <v>31</v>
      </c>
      <c r="D29" s="1">
        <f t="shared" si="0"/>
        <v>-2</v>
      </c>
      <c r="E29" s="46">
        <f t="shared" si="5"/>
        <v>23.60414999884236</v>
      </c>
      <c r="F29" s="117"/>
      <c r="G29" s="1">
        <f t="shared" si="1"/>
        <v>33</v>
      </c>
      <c r="H29" s="1">
        <f t="shared" si="2"/>
        <v>33</v>
      </c>
      <c r="I29" s="1">
        <f t="shared" si="3"/>
        <v>1089</v>
      </c>
      <c r="J29" s="20">
        <f t="shared" si="4"/>
        <v>1.064516129032258</v>
      </c>
    </row>
    <row r="30" spans="1:10" x14ac:dyDescent="0.25">
      <c r="A30" s="115"/>
      <c r="B30" s="43">
        <f>'Naive Forecasts'!B30</f>
        <v>44440</v>
      </c>
      <c r="C30" s="7">
        <f>IF($B$6="Product A",'Actual Demand Database'!C22,IF($B$6="Product B",'Actual Demand Database'!D22,IF($B$6="Product C",'Actual Demand Database'!E22,IF($B$6="Product D",'Actual Demand Database'!F22,"N/A"))))</f>
        <v>5</v>
      </c>
      <c r="D30" s="1">
        <f t="shared" si="0"/>
        <v>-26</v>
      </c>
      <c r="E30" s="46">
        <f t="shared" si="5"/>
        <v>30.173810142440761</v>
      </c>
      <c r="F30" s="117"/>
      <c r="G30" s="1">
        <f t="shared" si="1"/>
        <v>31</v>
      </c>
      <c r="H30" s="1">
        <f t="shared" si="2"/>
        <v>31</v>
      </c>
      <c r="I30" s="1">
        <f t="shared" si="3"/>
        <v>961</v>
      </c>
      <c r="J30" s="20">
        <f t="shared" si="4"/>
        <v>6.2</v>
      </c>
    </row>
    <row r="31" spans="1:10" x14ac:dyDescent="0.25">
      <c r="A31" s="115"/>
      <c r="B31" s="43">
        <f>'Naive Forecasts'!B31</f>
        <v>44470</v>
      </c>
      <c r="C31" s="7">
        <f>IF($B$6="Product A",'Actual Demand Database'!C23,IF($B$6="Product B",'Actual Demand Database'!D23,IF($B$6="Product C",'Actual Demand Database'!E23,IF($B$6="Product D",'Actual Demand Database'!F23,"N/A"))))</f>
        <v>6</v>
      </c>
      <c r="D31" s="1">
        <f t="shared" si="0"/>
        <v>1</v>
      </c>
      <c r="E31" s="46">
        <f t="shared" si="5"/>
        <v>12.084265659608516</v>
      </c>
      <c r="F31" s="117"/>
      <c r="G31" s="1">
        <f t="shared" si="1"/>
        <v>5</v>
      </c>
      <c r="H31" s="1">
        <f t="shared" si="2"/>
        <v>5</v>
      </c>
      <c r="I31" s="1">
        <f t="shared" si="3"/>
        <v>25</v>
      </c>
      <c r="J31" s="20">
        <f t="shared" si="4"/>
        <v>0.83333333333333337</v>
      </c>
    </row>
    <row r="32" spans="1:10" x14ac:dyDescent="0.25">
      <c r="A32" s="115"/>
      <c r="B32" s="43">
        <f>'Naive Forecasts'!B32</f>
        <v>44501</v>
      </c>
      <c r="C32" s="7">
        <f>IF($B$6="Product A",'Actual Demand Database'!C24,IF($B$6="Product B",'Actual Demand Database'!D24,IF($B$6="Product C",'Actual Demand Database'!E24,IF($B$6="Product D",'Actual Demand Database'!F24,"N/A"))))</f>
        <v>4</v>
      </c>
      <c r="D32" s="1">
        <f t="shared" si="0"/>
        <v>-2</v>
      </c>
      <c r="E32" s="46">
        <f t="shared" si="5"/>
        <v>4.1850032027947917</v>
      </c>
      <c r="F32" s="117"/>
      <c r="G32" s="1">
        <f t="shared" si="1"/>
        <v>6</v>
      </c>
      <c r="H32" s="1">
        <f t="shared" si="2"/>
        <v>6</v>
      </c>
      <c r="I32" s="1">
        <f t="shared" si="3"/>
        <v>36</v>
      </c>
      <c r="J32" s="20">
        <f t="shared" si="4"/>
        <v>1.5</v>
      </c>
    </row>
    <row r="33" spans="1:10" x14ac:dyDescent="0.25">
      <c r="A33" s="115"/>
      <c r="B33" s="43">
        <f>'Naive Forecasts'!B33</f>
        <v>44531</v>
      </c>
      <c r="C33" s="7">
        <f>IF($B$6="Product A",'Actual Demand Database'!C25,IF($B$6="Product B",'Actual Demand Database'!D25,IF($B$6="Product C",'Actual Demand Database'!E25,IF($B$6="Product D",'Actual Demand Database'!F25,"N/A"))))</f>
        <v>22</v>
      </c>
      <c r="D33" s="1">
        <f t="shared" si="0"/>
        <v>18</v>
      </c>
      <c r="E33" s="46">
        <f t="shared" si="5"/>
        <v>3.173810142440761</v>
      </c>
      <c r="F33" s="117"/>
      <c r="G33" s="1">
        <f t="shared" si="1"/>
        <v>4</v>
      </c>
      <c r="H33" s="1">
        <f t="shared" si="2"/>
        <v>4</v>
      </c>
      <c r="I33" s="1">
        <f t="shared" si="3"/>
        <v>16</v>
      </c>
      <c r="J33" s="20">
        <f t="shared" si="4"/>
        <v>0.18181818181818182</v>
      </c>
    </row>
    <row r="34" spans="1:10" x14ac:dyDescent="0.25">
      <c r="A34" s="119">
        <v>2022</v>
      </c>
      <c r="B34" s="110">
        <f>'Naive Forecasts'!B34</f>
        <v>44562</v>
      </c>
      <c r="C34" s="7">
        <f>IF($B$6="Product A",'Actual Demand Database'!C26,IF($B$6="Product B",'Actual Demand Database'!D26,IF($B$6="Product C",'Actual Demand Database'!E26,IF($B$6="Product D",'Actual Demand Database'!F26,"N/A"))))</f>
        <v>3</v>
      </c>
      <c r="D34" s="1">
        <f t="shared" si="0"/>
        <v>-19</v>
      </c>
      <c r="E34" s="46">
        <f t="shared" si="5"/>
        <v>14.5817638781343</v>
      </c>
      <c r="F34" s="117"/>
      <c r="G34" s="1">
        <f t="shared" si="1"/>
        <v>22</v>
      </c>
      <c r="H34" s="1">
        <f t="shared" si="2"/>
        <v>22</v>
      </c>
      <c r="I34" s="1">
        <f t="shared" si="3"/>
        <v>484</v>
      </c>
      <c r="J34" s="20">
        <f t="shared" si="4"/>
        <v>7.333333333333333</v>
      </c>
    </row>
    <row r="35" spans="1:10" x14ac:dyDescent="0.25">
      <c r="A35" s="119"/>
      <c r="B35" s="110">
        <f>'Naive Forecasts'!B35</f>
        <v>44593</v>
      </c>
      <c r="C35" s="7">
        <f>IF($B$6="Product A",'Actual Demand Database'!C27,IF($B$6="Product B",'Actual Demand Database'!D27,IF($B$6="Product C",'Actual Demand Database'!E27,IF($B$6="Product D",'Actual Demand Database'!F27,"N/A"))))</f>
        <v>6</v>
      </c>
      <c r="D35" s="1">
        <f t="shared" si="0"/>
        <v>3</v>
      </c>
      <c r="E35" s="46">
        <f t="shared" si="5"/>
        <v>7.7770494671012536</v>
      </c>
      <c r="F35" s="117"/>
      <c r="G35" s="1">
        <f t="shared" si="1"/>
        <v>3</v>
      </c>
      <c r="H35" s="1">
        <f t="shared" si="2"/>
        <v>3</v>
      </c>
      <c r="I35" s="1">
        <f t="shared" si="3"/>
        <v>9</v>
      </c>
      <c r="J35" s="20">
        <f t="shared" si="4"/>
        <v>0.5</v>
      </c>
    </row>
    <row r="36" spans="1:10" x14ac:dyDescent="0.25">
      <c r="A36" s="119"/>
      <c r="B36" s="110">
        <f>'Naive Forecasts'!B36</f>
        <v>44621</v>
      </c>
      <c r="C36" s="7">
        <f>IF($B$6="Product A",'Actual Demand Database'!C28,IF($B$6="Product B",'Actual Demand Database'!D28,IF($B$6="Product C",'Actual Demand Database'!E28,IF($B$6="Product D",'Actual Demand Database'!F28,"N/A"))))</f>
        <v>45</v>
      </c>
      <c r="D36" s="1">
        <f t="shared" si="0"/>
        <v>39</v>
      </c>
      <c r="E36" s="46">
        <f t="shared" si="5"/>
        <v>3.5257985763641457</v>
      </c>
      <c r="F36" s="117"/>
      <c r="G36" s="1">
        <f t="shared" si="1"/>
        <v>6</v>
      </c>
      <c r="H36" s="1">
        <f t="shared" si="2"/>
        <v>6</v>
      </c>
      <c r="I36" s="1">
        <f t="shared" si="3"/>
        <v>36</v>
      </c>
      <c r="J36" s="20">
        <f t="shared" si="4"/>
        <v>0.13333333333333333</v>
      </c>
    </row>
    <row r="37" spans="1:10" x14ac:dyDescent="0.25">
      <c r="A37" s="119"/>
      <c r="B37" s="110">
        <f>'Naive Forecasts'!B37</f>
        <v>44652</v>
      </c>
      <c r="C37" s="7">
        <f>IF($B$6="Product A",'Actual Demand Database'!C29,IF($B$6="Product B",'Actual Demand Database'!D29,IF($B$6="Product C",'Actual Demand Database'!E29,IF($B$6="Product D",'Actual Demand Database'!F29,"N/A"))))</f>
        <v>14</v>
      </c>
      <c r="D37" s="1">
        <f t="shared" si="0"/>
        <v>-31</v>
      </c>
      <c r="E37" s="46">
        <f t="shared" si="5"/>
        <v>30.660115300612514</v>
      </c>
      <c r="F37" s="117"/>
      <c r="G37" s="1">
        <f t="shared" si="1"/>
        <v>45</v>
      </c>
      <c r="H37" s="1">
        <f t="shared" si="2"/>
        <v>45</v>
      </c>
      <c r="I37" s="1">
        <f t="shared" si="3"/>
        <v>2025</v>
      </c>
      <c r="J37" s="20">
        <f t="shared" si="4"/>
        <v>3.2142857142857144</v>
      </c>
    </row>
    <row r="38" spans="1:10" ht="15.75" thickBot="1" x14ac:dyDescent="0.3">
      <c r="A38" s="119"/>
      <c r="B38" s="111">
        <f>'Naive Forecasts'!B38</f>
        <v>44682</v>
      </c>
      <c r="C38" s="101">
        <f>IF($B$6="Product A",'Actual Demand Database'!C30,IF($B$6="Product B",'Actual Demand Database'!D30,IF($B$6="Product C",'Actual Demand Database'!E30,IF($B$6="Product D",'Actual Demand Database'!F30,"N/A"))))</f>
        <v>40</v>
      </c>
      <c r="D38" s="87">
        <f t="shared" si="0"/>
        <v>26</v>
      </c>
      <c r="E38" s="102">
        <f t="shared" si="5"/>
        <v>22.732277225685131</v>
      </c>
      <c r="F38" s="117"/>
      <c r="G38" s="87">
        <f t="shared" si="1"/>
        <v>14</v>
      </c>
      <c r="H38" s="87">
        <f t="shared" si="2"/>
        <v>14</v>
      </c>
      <c r="I38" s="87">
        <f t="shared" si="3"/>
        <v>196</v>
      </c>
      <c r="J38" s="30">
        <f t="shared" si="4"/>
        <v>0.35</v>
      </c>
    </row>
    <row r="39" spans="1:10" x14ac:dyDescent="0.25">
      <c r="A39" s="119"/>
      <c r="B39" s="112">
        <f>'Naive Forecasts'!B39</f>
        <v>44713</v>
      </c>
      <c r="C39" s="103">
        <f>IF($B$6="Product A",'Actual Demand Database'!C31,IF($B$6="Product B",'Actual Demand Database'!D31,IF($B$6="Product C",'Actual Demand Database'!E31,IF($B$6="Product D",'Actual Demand Database'!F31,"N/A"))))</f>
        <v>13</v>
      </c>
      <c r="D39" s="104">
        <f t="shared" si="0"/>
        <v>-27</v>
      </c>
      <c r="E39" s="105">
        <f t="shared" si="5"/>
        <v>29.944945372411716</v>
      </c>
      <c r="F39" s="113">
        <f>$E$2+E38+$E$3*(E38-E37)</f>
        <v>23.859916509987823</v>
      </c>
      <c r="G39" s="106">
        <f t="shared" si="1"/>
        <v>40</v>
      </c>
      <c r="H39" s="106">
        <f t="shared" si="2"/>
        <v>40</v>
      </c>
      <c r="I39" s="107">
        <f t="shared" si="3"/>
        <v>1600</v>
      </c>
      <c r="J39" s="99">
        <f t="shared" si="4"/>
        <v>3.0769230769230771</v>
      </c>
    </row>
    <row r="40" spans="1:10" x14ac:dyDescent="0.25">
      <c r="A40" s="119"/>
      <c r="B40" s="110">
        <f>'Naive Forecasts'!B40</f>
        <v>44743</v>
      </c>
      <c r="C40" s="13">
        <f>IF($B$6="Product A",'Actual Demand Database'!C32,IF($B$6="Product B",'Actual Demand Database'!D32,IF($B$6="Product C",'Actual Demand Database'!E32,IF($B$6="Product D",'Actual Demand Database'!F32,"N/A"))))</f>
        <v>44</v>
      </c>
      <c r="D40" s="1">
        <f t="shared" si="0"/>
        <v>31</v>
      </c>
      <c r="E40" s="46">
        <f t="shared" si="5"/>
        <v>20.413867972823837</v>
      </c>
      <c r="F40" s="47">
        <f>$E$2+F39+$E$3*(F39-E38)</f>
        <v>22.002849509419299</v>
      </c>
      <c r="G40" s="6">
        <f t="shared" si="1"/>
        <v>13</v>
      </c>
      <c r="H40" s="6">
        <f t="shared" si="2"/>
        <v>13</v>
      </c>
      <c r="I40" s="108">
        <f t="shared" si="3"/>
        <v>169</v>
      </c>
      <c r="J40" s="100">
        <f t="shared" si="4"/>
        <v>0.29545454545454547</v>
      </c>
    </row>
    <row r="41" spans="1:10" x14ac:dyDescent="0.25">
      <c r="A41" s="119"/>
      <c r="B41" s="110">
        <f>'Naive Forecasts'!B41</f>
        <v>44774</v>
      </c>
      <c r="C41" s="13">
        <f>IF($B$6="Product A",'Actual Demand Database'!C33,IF($B$6="Product B",'Actual Demand Database'!D33,IF($B$6="Product C",'Actual Demand Database'!E33,IF($B$6="Product D",'Actual Demand Database'!F33,"N/A"))))</f>
        <v>42</v>
      </c>
      <c r="D41" s="1">
        <f t="shared" si="0"/>
        <v>-2</v>
      </c>
      <c r="E41" s="46">
        <f t="shared" si="5"/>
        <v>32.296933806335097</v>
      </c>
      <c r="F41" s="47">
        <f>$E$2+F40+$E$3*(F40-F39)</f>
        <v>21.129548604612641</v>
      </c>
      <c r="G41" s="6">
        <f t="shared" si="1"/>
        <v>44</v>
      </c>
      <c r="H41" s="6">
        <f t="shared" si="2"/>
        <v>44</v>
      </c>
      <c r="I41" s="108">
        <f t="shared" si="3"/>
        <v>1936</v>
      </c>
      <c r="J41" s="100">
        <f t="shared" si="4"/>
        <v>1.0476190476190477</v>
      </c>
    </row>
    <row r="42" spans="1:10" x14ac:dyDescent="0.25">
      <c r="A42" s="119"/>
      <c r="B42" s="110">
        <f>'Naive Forecasts'!B42</f>
        <v>44805</v>
      </c>
      <c r="C42" s="13">
        <f>IF($B$6="Product A",'Actual Demand Database'!C34,IF($B$6="Product B",'Actual Demand Database'!D34,IF($B$6="Product C",'Actual Demand Database'!E34,IF($B$6="Product D",'Actual Demand Database'!F34,"N/A"))))</f>
        <v>47</v>
      </c>
      <c r="D42" s="1">
        <f t="shared" si="0"/>
        <v>5</v>
      </c>
      <c r="E42" s="46">
        <f t="shared" si="5"/>
        <v>41.173810142440757</v>
      </c>
      <c r="F42" s="47">
        <f t="shared" ref="F42:F46" si="6">$E$2+F41+$E$3*(F41-F40)</f>
        <v>19.931996118980063</v>
      </c>
      <c r="G42" s="6">
        <f t="shared" si="1"/>
        <v>42</v>
      </c>
      <c r="H42" s="6">
        <f t="shared" si="2"/>
        <v>42</v>
      </c>
      <c r="I42" s="108">
        <f t="shared" si="3"/>
        <v>1764</v>
      </c>
      <c r="J42" s="100">
        <f t="shared" si="4"/>
        <v>0.8936170212765957</v>
      </c>
    </row>
    <row r="43" spans="1:10" x14ac:dyDescent="0.25">
      <c r="A43" s="119"/>
      <c r="B43" s="110">
        <f>'Naive Forecasts'!B43</f>
        <v>44835</v>
      </c>
      <c r="C43" s="13">
        <f>IF($B$6="Product A",'Actual Demand Database'!C35,IF($B$6="Product B",'Actual Demand Database'!D35,IF($B$6="Product C",'Actual Demand Database'!E35,IF($B$6="Product D",'Actual Demand Database'!F35,"N/A"))))</f>
        <v>48</v>
      </c>
      <c r="D43" s="1">
        <f t="shared" si="0"/>
        <v>1</v>
      </c>
      <c r="E43" s="46">
        <f t="shared" si="5"/>
        <v>43.866593949933502</v>
      </c>
      <c r="F43" s="47">
        <f t="shared" si="6"/>
        <v>18.841317704451434</v>
      </c>
      <c r="G43" s="6">
        <f t="shared" si="1"/>
        <v>47</v>
      </c>
      <c r="H43" s="6">
        <f t="shared" si="2"/>
        <v>47</v>
      </c>
      <c r="I43" s="108">
        <f t="shared" si="3"/>
        <v>2209</v>
      </c>
      <c r="J43" s="100">
        <f t="shared" si="4"/>
        <v>0.97916666666666663</v>
      </c>
    </row>
    <row r="44" spans="1:10" x14ac:dyDescent="0.25">
      <c r="A44" s="119"/>
      <c r="B44" s="110">
        <f>'Naive Forecasts'!B44</f>
        <v>44866</v>
      </c>
      <c r="C44" s="13">
        <f>IF($B$6="Product A",'Actual Demand Database'!C36,IF($B$6="Product B",'Actual Demand Database'!D36,IF($B$6="Product C",'Actual Demand Database'!E36,IF($B$6="Product D",'Actual Demand Database'!F36,"N/A"))))</f>
        <v>8</v>
      </c>
      <c r="D44" s="1">
        <f t="shared" si="0"/>
        <v>-40</v>
      </c>
      <c r="E44" s="46">
        <f t="shared" si="5"/>
        <v>46.185003202794789</v>
      </c>
      <c r="F44" s="47">
        <f t="shared" si="6"/>
        <v>17.715413348864207</v>
      </c>
      <c r="G44" s="6">
        <f t="shared" si="1"/>
        <v>48</v>
      </c>
      <c r="H44" s="6">
        <f t="shared" si="2"/>
        <v>48</v>
      </c>
      <c r="I44" s="108">
        <f t="shared" si="3"/>
        <v>2304</v>
      </c>
      <c r="J44" s="100">
        <f t="shared" si="4"/>
        <v>6</v>
      </c>
    </row>
    <row r="45" spans="1:10" x14ac:dyDescent="0.25">
      <c r="A45" s="119"/>
      <c r="B45" s="110">
        <f>'Naive Forecasts'!B45</f>
        <v>44896</v>
      </c>
      <c r="C45" s="13">
        <f>IF($B$6="Product A",'Actual Demand Database'!C37,IF($B$6="Product B",'Actual Demand Database'!D37,IF($B$6="Product C",'Actual Demand Database'!E37,IF($B$6="Product D",'Actual Demand Database'!F37,"N/A"))))</f>
        <v>30</v>
      </c>
      <c r="D45" s="1">
        <f t="shared" si="0"/>
        <v>22</v>
      </c>
      <c r="E45" s="46">
        <f t="shared" si="5"/>
        <v>19.698698044623036</v>
      </c>
      <c r="F45" s="47">
        <f t="shared" si="6"/>
        <v>16.601119544935077</v>
      </c>
      <c r="G45" s="6">
        <f t="shared" si="1"/>
        <v>8</v>
      </c>
      <c r="H45" s="6">
        <f t="shared" si="2"/>
        <v>8</v>
      </c>
      <c r="I45" s="108">
        <f>G45^2</f>
        <v>64</v>
      </c>
      <c r="J45" s="100">
        <f t="shared" si="4"/>
        <v>0.26666666666666666</v>
      </c>
    </row>
    <row r="46" spans="1:10" ht="15.75" thickBot="1" x14ac:dyDescent="0.3">
      <c r="A46" s="98">
        <v>2023</v>
      </c>
      <c r="B46" s="109">
        <f>'Naive Forecasts'!B46</f>
        <v>44927</v>
      </c>
      <c r="C46" s="11"/>
      <c r="D46" s="5">
        <f t="shared" si="0"/>
        <v>-30</v>
      </c>
      <c r="E46" s="48">
        <f t="shared" si="5"/>
        <v>21.263354625273006</v>
      </c>
      <c r="F46" s="47">
        <f t="shared" si="6"/>
        <v>15.482998876321735</v>
      </c>
      <c r="G46" s="10"/>
      <c r="H46" s="10"/>
      <c r="I46" s="12"/>
    </row>
    <row r="49" spans="5:6" x14ac:dyDescent="0.25">
      <c r="E49" t="s">
        <v>72</v>
      </c>
      <c r="F49" t="s">
        <v>73</v>
      </c>
    </row>
    <row r="50" spans="5:6" x14ac:dyDescent="0.25">
      <c r="E50">
        <v>0</v>
      </c>
      <c r="F50">
        <v>46</v>
      </c>
    </row>
    <row r="51" spans="5:6" x14ac:dyDescent="0.25">
      <c r="E51">
        <v>46</v>
      </c>
      <c r="F51">
        <v>-14</v>
      </c>
    </row>
    <row r="52" spans="5:6" x14ac:dyDescent="0.25">
      <c r="E52">
        <v>-14</v>
      </c>
      <c r="F52">
        <v>-23</v>
      </c>
    </row>
    <row r="53" spans="5:6" x14ac:dyDescent="0.25">
      <c r="E53">
        <v>-23</v>
      </c>
      <c r="F53">
        <v>40</v>
      </c>
    </row>
    <row r="54" spans="5:6" x14ac:dyDescent="0.25">
      <c r="E54">
        <v>40</v>
      </c>
      <c r="F54">
        <v>-17</v>
      </c>
    </row>
    <row r="55" spans="5:6" x14ac:dyDescent="0.25">
      <c r="E55">
        <v>-17</v>
      </c>
      <c r="F55">
        <v>-11</v>
      </c>
    </row>
    <row r="56" spans="5:6" x14ac:dyDescent="0.25">
      <c r="E56">
        <v>-11</v>
      </c>
      <c r="F56">
        <v>33</v>
      </c>
    </row>
    <row r="57" spans="5:6" x14ac:dyDescent="0.25">
      <c r="E57">
        <v>33</v>
      </c>
      <c r="F57">
        <v>0</v>
      </c>
    </row>
    <row r="58" spans="5:6" x14ac:dyDescent="0.25">
      <c r="E58">
        <v>0</v>
      </c>
      <c r="F58">
        <v>-8</v>
      </c>
    </row>
    <row r="59" spans="5:6" x14ac:dyDescent="0.25">
      <c r="E59">
        <v>-8</v>
      </c>
      <c r="F59">
        <v>5</v>
      </c>
    </row>
    <row r="60" spans="5:6" x14ac:dyDescent="0.25">
      <c r="E60">
        <v>5</v>
      </c>
      <c r="F60">
        <v>-35</v>
      </c>
    </row>
    <row r="61" spans="5:6" x14ac:dyDescent="0.25">
      <c r="E61">
        <v>-35</v>
      </c>
      <c r="F61">
        <v>30</v>
      </c>
    </row>
    <row r="62" spans="5:6" x14ac:dyDescent="0.25">
      <c r="E62">
        <v>30</v>
      </c>
      <c r="F62">
        <v>-36</v>
      </c>
    </row>
    <row r="63" spans="5:6" x14ac:dyDescent="0.25">
      <c r="E63">
        <v>-36</v>
      </c>
      <c r="F63">
        <v>-8</v>
      </c>
    </row>
    <row r="64" spans="5:6" x14ac:dyDescent="0.25">
      <c r="E64">
        <v>-8</v>
      </c>
      <c r="F64">
        <v>45</v>
      </c>
    </row>
    <row r="65" spans="5:6" x14ac:dyDescent="0.25">
      <c r="E65">
        <v>45</v>
      </c>
      <c r="F65">
        <v>-16</v>
      </c>
    </row>
    <row r="66" spans="5:6" x14ac:dyDescent="0.25">
      <c r="E66">
        <v>-16</v>
      </c>
      <c r="F66">
        <v>24</v>
      </c>
    </row>
    <row r="67" spans="5:6" x14ac:dyDescent="0.25">
      <c r="E67">
        <v>24</v>
      </c>
      <c r="F67">
        <v>-19</v>
      </c>
    </row>
    <row r="68" spans="5:6" x14ac:dyDescent="0.25">
      <c r="E68">
        <v>-19</v>
      </c>
      <c r="F68">
        <v>-38</v>
      </c>
    </row>
    <row r="69" spans="5:6" x14ac:dyDescent="0.25">
      <c r="E69">
        <v>-38</v>
      </c>
      <c r="F69">
        <v>6</v>
      </c>
    </row>
    <row r="70" spans="5:6" x14ac:dyDescent="0.25">
      <c r="E70">
        <v>6</v>
      </c>
      <c r="F70">
        <v>21</v>
      </c>
    </row>
    <row r="71" spans="5:6" x14ac:dyDescent="0.25">
      <c r="E71">
        <v>21</v>
      </c>
      <c r="F71">
        <v>1</v>
      </c>
    </row>
    <row r="72" spans="5:6" x14ac:dyDescent="0.25">
      <c r="E72">
        <v>1</v>
      </c>
      <c r="F72">
        <v>4</v>
      </c>
    </row>
    <row r="73" spans="5:6" x14ac:dyDescent="0.25">
      <c r="E73">
        <v>4</v>
      </c>
      <c r="F73">
        <v>-2</v>
      </c>
    </row>
    <row r="74" spans="5:6" x14ac:dyDescent="0.25">
      <c r="E74">
        <v>-2</v>
      </c>
      <c r="F74">
        <v>-32</v>
      </c>
    </row>
    <row r="75" spans="5:6" x14ac:dyDescent="0.25">
      <c r="E75">
        <v>-32</v>
      </c>
      <c r="F75">
        <v>42</v>
      </c>
    </row>
    <row r="76" spans="5:6" x14ac:dyDescent="0.25">
      <c r="E76">
        <v>42</v>
      </c>
      <c r="F76">
        <v>-11</v>
      </c>
    </row>
    <row r="77" spans="5:6" x14ac:dyDescent="0.25">
      <c r="E77">
        <v>-11</v>
      </c>
      <c r="F77">
        <v>-28</v>
      </c>
    </row>
    <row r="78" spans="5:6" x14ac:dyDescent="0.25">
      <c r="E78">
        <v>-28</v>
      </c>
      <c r="F78">
        <v>0</v>
      </c>
    </row>
    <row r="79" spans="5:6" x14ac:dyDescent="0.25">
      <c r="E79">
        <v>0</v>
      </c>
      <c r="F79">
        <v>32</v>
      </c>
    </row>
    <row r="80" spans="5:6" x14ac:dyDescent="0.25">
      <c r="E80">
        <v>32</v>
      </c>
      <c r="F80">
        <v>3</v>
      </c>
    </row>
    <row r="81" spans="5:6" x14ac:dyDescent="0.25">
      <c r="E81">
        <v>3</v>
      </c>
      <c r="F81">
        <v>21</v>
      </c>
    </row>
    <row r="82" spans="5:6" x14ac:dyDescent="0.25">
      <c r="E82">
        <v>21</v>
      </c>
      <c r="F82">
        <v>-48</v>
      </c>
    </row>
    <row r="83" spans="5:6" x14ac:dyDescent="0.25">
      <c r="E83">
        <v>-48</v>
      </c>
      <c r="F83">
        <v>-8</v>
      </c>
    </row>
    <row r="84" spans="5:6" x14ac:dyDescent="0.25">
      <c r="E84">
        <v>-8</v>
      </c>
      <c r="F84">
        <v>-2</v>
      </c>
    </row>
    <row r="85" spans="5:6" x14ac:dyDescent="0.25">
      <c r="E85">
        <v>-2</v>
      </c>
      <c r="F85">
        <v>-2</v>
      </c>
    </row>
  </sheetData>
  <mergeCells count="5">
    <mergeCell ref="A1:V1"/>
    <mergeCell ref="A10:A21"/>
    <mergeCell ref="F10:F38"/>
    <mergeCell ref="A22:A33"/>
    <mergeCell ref="A34:A4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8E9BD7-E948-49B8-BA21-0B373AE7E8E6}">
          <x14:formula1>
            <xm:f>'Actual Demand Database'!$C$1:$F$1</xm:f>
          </x14:formula1>
          <xm:sqref>B6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D9BDD-B7E9-46EC-97CB-780B14E71CC8}">
  <dimension ref="A1:I18"/>
  <sheetViews>
    <sheetView workbookViewId="0">
      <selection activeCell="B18" sqref="B18"/>
    </sheetView>
  </sheetViews>
  <sheetFormatPr defaultRowHeight="15" x14ac:dyDescent="0.25"/>
  <cols>
    <col min="1" max="1" width="18" bestFit="1" customWidth="1"/>
    <col min="2" max="2" width="12.7109375" bestFit="1" customWidth="1"/>
    <col min="3" max="3" width="14.5703125" bestFit="1" customWidth="1"/>
    <col min="4" max="4" width="12.7109375" bestFit="1" customWidth="1"/>
    <col min="5" max="5" width="12" bestFit="1" customWidth="1"/>
    <col min="6" max="6" width="13.42578125" bestFit="1" customWidth="1"/>
    <col min="7" max="9" width="12.7109375" bestFit="1" customWidth="1"/>
  </cols>
  <sheetData>
    <row r="1" spans="1:9" x14ac:dyDescent="0.25">
      <c r="A1" t="s">
        <v>74</v>
      </c>
    </row>
    <row r="2" spans="1:9" ht="15.75" thickBot="1" x14ac:dyDescent="0.3"/>
    <row r="3" spans="1:9" x14ac:dyDescent="0.25">
      <c r="A3" s="92" t="s">
        <v>75</v>
      </c>
      <c r="B3" s="92"/>
    </row>
    <row r="4" spans="1:9" x14ac:dyDescent="0.25">
      <c r="A4" s="89" t="s">
        <v>76</v>
      </c>
      <c r="B4" s="89">
        <v>0.34712572864110652</v>
      </c>
    </row>
    <row r="5" spans="1:9" x14ac:dyDescent="0.25">
      <c r="A5" s="89" t="s">
        <v>77</v>
      </c>
      <c r="B5" s="89">
        <v>0.12049627148461912</v>
      </c>
    </row>
    <row r="6" spans="1:9" x14ac:dyDescent="0.25">
      <c r="A6" s="89" t="s">
        <v>78</v>
      </c>
      <c r="B6" s="89">
        <v>9.38446433477894E-2</v>
      </c>
    </row>
    <row r="7" spans="1:9" x14ac:dyDescent="0.25">
      <c r="A7" s="89" t="s">
        <v>79</v>
      </c>
      <c r="B7" s="89">
        <v>23.102895499705291</v>
      </c>
    </row>
    <row r="8" spans="1:9" ht="15.75" thickBot="1" x14ac:dyDescent="0.3">
      <c r="A8" s="90" t="s">
        <v>80</v>
      </c>
      <c r="B8" s="90">
        <v>35</v>
      </c>
    </row>
    <row r="10" spans="1:9" ht="15.75" thickBot="1" x14ac:dyDescent="0.3">
      <c r="A10" t="s">
        <v>81</v>
      </c>
    </row>
    <row r="11" spans="1:9" x14ac:dyDescent="0.25">
      <c r="A11" s="91"/>
      <c r="B11" s="91" t="s">
        <v>86</v>
      </c>
      <c r="C11" s="91" t="s">
        <v>87</v>
      </c>
      <c r="D11" s="91" t="s">
        <v>88</v>
      </c>
      <c r="E11" s="91" t="s">
        <v>89</v>
      </c>
      <c r="F11" s="91" t="s">
        <v>90</v>
      </c>
    </row>
    <row r="12" spans="1:9" x14ac:dyDescent="0.25">
      <c r="A12" s="89" t="s">
        <v>82</v>
      </c>
      <c r="B12" s="89">
        <v>1</v>
      </c>
      <c r="C12" s="89">
        <v>2413.1409587657145</v>
      </c>
      <c r="D12" s="89">
        <v>2413.1409587657145</v>
      </c>
      <c r="E12" s="89">
        <v>4.5211598655808221</v>
      </c>
      <c r="F12" s="89">
        <v>4.1046408368977959E-2</v>
      </c>
    </row>
    <row r="13" spans="1:9" x14ac:dyDescent="0.25">
      <c r="A13" s="89" t="s">
        <v>83</v>
      </c>
      <c r="B13" s="89">
        <v>33</v>
      </c>
      <c r="C13" s="89">
        <v>17613.544755519997</v>
      </c>
      <c r="D13" s="89">
        <v>533.74378047030291</v>
      </c>
      <c r="E13" s="89"/>
      <c r="F13" s="89"/>
    </row>
    <row r="14" spans="1:9" ht="15.75" thickBot="1" x14ac:dyDescent="0.3">
      <c r="A14" s="90" t="s">
        <v>84</v>
      </c>
      <c r="B14" s="90">
        <v>34</v>
      </c>
      <c r="C14" s="90">
        <v>20026.685714285712</v>
      </c>
      <c r="D14" s="90"/>
      <c r="E14" s="90"/>
      <c r="F14" s="90"/>
    </row>
    <row r="15" spans="1:9" ht="15.75" thickBot="1" x14ac:dyDescent="0.3"/>
    <row r="16" spans="1:9" x14ac:dyDescent="0.25">
      <c r="A16" s="91"/>
      <c r="B16" s="91" t="s">
        <v>91</v>
      </c>
      <c r="C16" s="91" t="s">
        <v>79</v>
      </c>
      <c r="D16" s="91" t="s">
        <v>92</v>
      </c>
      <c r="E16" s="91" t="s">
        <v>93</v>
      </c>
      <c r="F16" s="91" t="s">
        <v>94</v>
      </c>
      <c r="G16" s="91" t="s">
        <v>95</v>
      </c>
      <c r="H16" s="91" t="s">
        <v>96</v>
      </c>
      <c r="I16" s="91" t="s">
        <v>97</v>
      </c>
    </row>
    <row r="17" spans="1:9" x14ac:dyDescent="0.25">
      <c r="A17" s="89" t="s">
        <v>85</v>
      </c>
      <c r="B17" s="89">
        <v>-1.4853944839898847</v>
      </c>
      <c r="C17" s="89">
        <v>3.9051246890063371</v>
      </c>
      <c r="D17" s="89">
        <v>-0.38037056490706955</v>
      </c>
      <c r="E17" s="89">
        <v>0.70610779037364135</v>
      </c>
      <c r="F17" s="89">
        <v>-9.430430402220372</v>
      </c>
      <c r="G17" s="89">
        <v>6.459641434240603</v>
      </c>
      <c r="H17" s="89">
        <v>-9.430430402220372</v>
      </c>
      <c r="I17" s="89">
        <v>6.459641434240603</v>
      </c>
    </row>
    <row r="18" spans="1:9" ht="15.75" thickBot="1" x14ac:dyDescent="0.3">
      <c r="A18" s="90">
        <v>0</v>
      </c>
      <c r="B18" s="90">
        <v>-0.32960231321532307</v>
      </c>
      <c r="C18" s="90">
        <v>0.15501199981491023</v>
      </c>
      <c r="D18" s="90">
        <v>-2.1263019224890964</v>
      </c>
      <c r="E18" s="90">
        <v>4.1046408368977959E-2</v>
      </c>
      <c r="F18" s="90">
        <v>-0.64497659812697217</v>
      </c>
      <c r="G18" s="90">
        <v>-1.4228028303673979E-2</v>
      </c>
      <c r="H18" s="90">
        <v>-0.64497659812697217</v>
      </c>
      <c r="I18" s="90">
        <v>-1.4228028303673979E-2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93A4C-0A2D-4F6C-8AFF-8343248229B6}">
  <dimension ref="A1:B2"/>
  <sheetViews>
    <sheetView workbookViewId="0">
      <selection activeCell="B2" sqref="B2"/>
    </sheetView>
  </sheetViews>
  <sheetFormatPr defaultRowHeight="15" x14ac:dyDescent="0.25"/>
  <cols>
    <col min="1" max="2" width="41.28515625" bestFit="1" customWidth="1"/>
  </cols>
  <sheetData>
    <row r="1" spans="1:2" x14ac:dyDescent="0.25">
      <c r="A1" t="s">
        <v>70</v>
      </c>
      <c r="B1" s="80">
        <f>MIN('Naive Forecasts'!B2,'Weighted Moving Average'!B2,'Exponential Smoothing'!B2,'ARIMA '!B2)</f>
        <v>17.022520359964297</v>
      </c>
    </row>
    <row r="2" spans="1:2" x14ac:dyDescent="0.25">
      <c r="A2" t="s">
        <v>69</v>
      </c>
      <c r="B2" t="str">
        <f>IF(B1='Naive Forecasts'!B2,"Naive Forecasts",IF('Measures of Errors'!B1='Weighted Moving Average'!B2,"Weighted Moving Average",IF('Measures of Errors'!B1='Exponential Smoothing'!B2,"Exponential Smoothing","N/A")))</f>
        <v>Exponential Smoothing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900-12CD-4FA0-B3CE-4CBBD0307598}">
  <dimension ref="A1:T12"/>
  <sheetViews>
    <sheetView zoomScale="91" zoomScaleNormal="91" workbookViewId="0">
      <selection activeCell="P4" sqref="P4"/>
    </sheetView>
  </sheetViews>
  <sheetFormatPr defaultColWidth="7.140625" defaultRowHeight="15" x14ac:dyDescent="0.25"/>
  <cols>
    <col min="1" max="1" width="16.5703125" bestFit="1" customWidth="1"/>
    <col min="2" max="2" width="6.7109375" bestFit="1" customWidth="1"/>
    <col min="3" max="3" width="7" bestFit="1" customWidth="1"/>
    <col min="4" max="4" width="7.5703125" bestFit="1" customWidth="1"/>
    <col min="5" max="5" width="6.85546875" bestFit="1" customWidth="1"/>
    <col min="6" max="6" width="7.7109375" bestFit="1" customWidth="1"/>
    <col min="7" max="7" width="6.7109375" bestFit="1" customWidth="1"/>
    <col min="8" max="8" width="6.28515625" bestFit="1" customWidth="1"/>
    <col min="10" max="10" width="7" bestFit="1" customWidth="1"/>
    <col min="11" max="11" width="6.85546875" bestFit="1" customWidth="1"/>
    <col min="12" max="12" width="7.28515625" bestFit="1" customWidth="1"/>
    <col min="13" max="13" width="7" bestFit="1" customWidth="1"/>
    <col min="14" max="14" width="6.7109375" bestFit="1" customWidth="1"/>
    <col min="15" max="15" width="7" bestFit="1" customWidth="1"/>
    <col min="16" max="16" width="11.28515625" bestFit="1" customWidth="1"/>
    <col min="17" max="17" width="7.85546875" bestFit="1" customWidth="1"/>
    <col min="18" max="18" width="8" customWidth="1"/>
    <col min="19" max="19" width="7" bestFit="1" customWidth="1"/>
    <col min="20" max="20" width="13.140625" bestFit="1" customWidth="1"/>
    <col min="22" max="22" width="7" bestFit="1" customWidth="1"/>
    <col min="23" max="23" width="6.85546875" bestFit="1" customWidth="1"/>
    <col min="24" max="24" width="7.28515625" bestFit="1" customWidth="1"/>
    <col min="25" max="25" width="7" bestFit="1" customWidth="1"/>
    <col min="26" max="26" width="6.7109375" bestFit="1" customWidth="1"/>
    <col min="27" max="27" width="7" bestFit="1" customWidth="1"/>
    <col min="28" max="28" width="7.5703125" bestFit="1" customWidth="1"/>
    <col min="29" max="29" width="6.85546875" bestFit="1" customWidth="1"/>
    <col min="30" max="30" width="7.7109375" bestFit="1" customWidth="1"/>
    <col min="31" max="31" width="6.7109375" bestFit="1" customWidth="1"/>
    <col min="32" max="32" width="6.28515625" bestFit="1" customWidth="1"/>
    <col min="34" max="34" width="7" bestFit="1" customWidth="1"/>
    <col min="35" max="35" width="6.85546875" bestFit="1" customWidth="1"/>
    <col min="36" max="36" width="7.28515625" bestFit="1" customWidth="1"/>
    <col min="37" max="37" width="7" bestFit="1" customWidth="1"/>
    <col min="38" max="38" width="6.7109375" bestFit="1" customWidth="1"/>
  </cols>
  <sheetData>
    <row r="1" spans="1:20" ht="15.75" thickBot="1" x14ac:dyDescent="0.3"/>
    <row r="2" spans="1:20" ht="15.75" thickBot="1" x14ac:dyDescent="0.3">
      <c r="B2">
        <v>31</v>
      </c>
      <c r="C2">
        <v>28</v>
      </c>
      <c r="D2">
        <v>31</v>
      </c>
      <c r="E2">
        <v>30</v>
      </c>
      <c r="F2">
        <v>31</v>
      </c>
      <c r="G2">
        <v>30</v>
      </c>
      <c r="H2">
        <v>31</v>
      </c>
      <c r="I2">
        <v>31</v>
      </c>
      <c r="J2">
        <v>30</v>
      </c>
      <c r="K2">
        <v>31</v>
      </c>
      <c r="L2">
        <v>30</v>
      </c>
      <c r="M2">
        <v>31</v>
      </c>
      <c r="P2" s="120" t="s">
        <v>44</v>
      </c>
      <c r="Q2" s="121"/>
      <c r="R2" s="121"/>
      <c r="S2" s="121"/>
      <c r="T2" s="122"/>
    </row>
    <row r="3" spans="1:20" ht="15.75" thickBot="1" x14ac:dyDescent="0.3">
      <c r="A3" s="66"/>
      <c r="B3" s="72">
        <v>44562</v>
      </c>
      <c r="C3" s="73">
        <v>44593</v>
      </c>
      <c r="D3" s="72">
        <v>44621</v>
      </c>
      <c r="E3" s="73">
        <v>44652</v>
      </c>
      <c r="F3" s="72">
        <v>44682</v>
      </c>
      <c r="G3" s="73">
        <v>44713</v>
      </c>
      <c r="H3" s="72">
        <v>44743</v>
      </c>
      <c r="I3" s="73">
        <v>44774</v>
      </c>
      <c r="J3" s="72">
        <v>44805</v>
      </c>
      <c r="K3" s="73">
        <v>44835</v>
      </c>
      <c r="L3" s="72">
        <v>44866</v>
      </c>
      <c r="M3" s="74">
        <v>44896</v>
      </c>
      <c r="N3" s="58"/>
      <c r="P3" s="64" t="s">
        <v>35</v>
      </c>
      <c r="Q3" s="26" t="s">
        <v>36</v>
      </c>
      <c r="R3" s="26" t="s">
        <v>37</v>
      </c>
      <c r="S3" s="26" t="s">
        <v>38</v>
      </c>
      <c r="T3" s="65" t="s">
        <v>43</v>
      </c>
    </row>
    <row r="4" spans="1:20" x14ac:dyDescent="0.25">
      <c r="A4" s="67" t="s">
        <v>2</v>
      </c>
      <c r="B4" s="4">
        <f>VLOOKUP(B$3,Table1[[#All],[Months]:[Product D]],2,FALSE)</f>
        <v>3</v>
      </c>
      <c r="C4" s="4">
        <f>VLOOKUP(C$3,Table1[[#All],[Months]:[Product D]],2,FALSE)</f>
        <v>6</v>
      </c>
      <c r="D4" s="4">
        <f>VLOOKUP(D$3,Table1[[#All],[Months]:[Product D]],2,FALSE)</f>
        <v>45</v>
      </c>
      <c r="E4" s="4">
        <f>VLOOKUP(E$3,Table1[[#All],[Months]:[Product D]],2,FALSE)</f>
        <v>14</v>
      </c>
      <c r="F4" s="4">
        <f>VLOOKUP(F$3,Table1[[#All],[Months]:[Product D]],2,FALSE)</f>
        <v>40</v>
      </c>
      <c r="G4" s="4">
        <f>VLOOKUP(G$3,Table1[[#All],[Months]:[Product D]],2,FALSE)</f>
        <v>13</v>
      </c>
      <c r="H4" s="4">
        <f>VLOOKUP(H$3,Table1[[#All],[Months]:[Product D]],2,FALSE)</f>
        <v>44</v>
      </c>
      <c r="I4" s="4">
        <f>VLOOKUP(I$3,Table1[[#All],[Months]:[Product D]],2,FALSE)</f>
        <v>42</v>
      </c>
      <c r="J4" s="4">
        <f>VLOOKUP(J$3,Table1[[#All],[Months]:[Product D]],2,FALSE)</f>
        <v>47</v>
      </c>
      <c r="K4" s="4">
        <f>VLOOKUP(K$3,Table1[[#All],[Months]:[Product D]],2,FALSE)</f>
        <v>48</v>
      </c>
      <c r="L4" s="4">
        <f>VLOOKUP(L$3,Table1[[#All],[Months]:[Product D]],2,FALSE)</f>
        <v>8</v>
      </c>
      <c r="M4" s="68">
        <f>VLOOKUP(M$3,Table1[[#All],[Months]:[Product D]],2,FALSE)</f>
        <v>30</v>
      </c>
      <c r="N4" s="57"/>
      <c r="P4" s="2">
        <f>SUM(B4:M4)/365</f>
        <v>0.93150684931506844</v>
      </c>
      <c r="Q4" s="1">
        <f>MAX(B9:M9)</f>
        <v>1.5483870967741935</v>
      </c>
      <c r="R4" s="1">
        <v>7</v>
      </c>
      <c r="S4" s="1">
        <v>12</v>
      </c>
      <c r="T4" s="3">
        <f>(Q4*S4)-(P4*R4)</f>
        <v>12.060097216084841</v>
      </c>
    </row>
    <row r="5" spans="1:20" x14ac:dyDescent="0.25">
      <c r="A5" s="67" t="s">
        <v>3</v>
      </c>
      <c r="B5" s="4">
        <f>VLOOKUP(B$3,Table1[[#All],[Months]:[Product D]],3,FALSE)</f>
        <v>28</v>
      </c>
      <c r="C5" s="4">
        <f>VLOOKUP(C$3,Table1[[#All],[Months]:[Product D]],3,FALSE)</f>
        <v>20</v>
      </c>
      <c r="D5" s="4">
        <f>VLOOKUP(D$3,Table1[[#All],[Months]:[Product D]],3,FALSE)</f>
        <v>4</v>
      </c>
      <c r="E5" s="4">
        <f>VLOOKUP(E$3,Table1[[#All],[Months]:[Product D]],3,FALSE)</f>
        <v>55</v>
      </c>
      <c r="F5" s="4">
        <f>VLOOKUP(F$3,Table1[[#All],[Months]:[Product D]],3,FALSE)</f>
        <v>21</v>
      </c>
      <c r="G5" s="4">
        <f>VLOOKUP(G$3,Table1[[#All],[Months]:[Product D]],3,FALSE)</f>
        <v>25</v>
      </c>
      <c r="H5" s="4">
        <f>VLOOKUP(H$3,Table1[[#All],[Months]:[Product D]],3,FALSE)</f>
        <v>4</v>
      </c>
      <c r="I5" s="4">
        <f>VLOOKUP(I$3,Table1[[#All],[Months]:[Product D]],3,FALSE)</f>
        <v>12</v>
      </c>
      <c r="J5" s="4">
        <f>VLOOKUP(J$3,Table1[[#All],[Months]:[Product D]],3,FALSE)</f>
        <v>37</v>
      </c>
      <c r="K5" s="4">
        <f>VLOOKUP(K$3,Table1[[#All],[Months]:[Product D]],3,FALSE)</f>
        <v>29</v>
      </c>
      <c r="L5" s="4">
        <f>VLOOKUP(L$3,Table1[[#All],[Months]:[Product D]],3,FALSE)</f>
        <v>34</v>
      </c>
      <c r="M5" s="68">
        <f>VLOOKUP(M$3,Table1[[#All],[Months]:[Product D]],3,FALSE)</f>
        <v>21</v>
      </c>
      <c r="N5" s="57"/>
      <c r="P5" s="2">
        <f t="shared" ref="P5:P7" si="0">SUM(B5:M5)/365</f>
        <v>0.79452054794520544</v>
      </c>
      <c r="Q5" s="1">
        <f t="shared" ref="Q5:Q7" si="1">MAX(B10:M10)</f>
        <v>1.7741935483870968</v>
      </c>
      <c r="R5" s="1">
        <v>7</v>
      </c>
      <c r="S5" s="1">
        <v>12</v>
      </c>
      <c r="T5" s="3">
        <f t="shared" ref="T5:T7" si="2">(Q5*S5)-(P5*R5)</f>
        <v>15.728678745028722</v>
      </c>
    </row>
    <row r="6" spans="1:20" x14ac:dyDescent="0.25">
      <c r="A6" s="67" t="s">
        <v>4</v>
      </c>
      <c r="B6" s="4">
        <f>VLOOKUP(B$3,Table1[[#All],[Months]:[Product D]],4,FALSE)</f>
        <v>33</v>
      </c>
      <c r="C6" s="4">
        <f>VLOOKUP(C$3,Table1[[#All],[Months]:[Product D]],4,FALSE)</f>
        <v>13</v>
      </c>
      <c r="D6" s="4">
        <f>VLOOKUP(D$3,Table1[[#All],[Months]:[Product D]],4,FALSE)</f>
        <v>38</v>
      </c>
      <c r="E6" s="4">
        <f>VLOOKUP(E$3,Table1[[#All],[Months]:[Product D]],4,FALSE)</f>
        <v>32</v>
      </c>
      <c r="F6" s="4">
        <f>VLOOKUP(F$3,Table1[[#All],[Months]:[Product D]],4,FALSE)</f>
        <v>36</v>
      </c>
      <c r="G6" s="4">
        <f>VLOOKUP(G$3,Table1[[#All],[Months]:[Product D]],4,FALSE)</f>
        <v>1</v>
      </c>
      <c r="H6" s="4">
        <f>VLOOKUP(H$3,Table1[[#All],[Months]:[Product D]],4,FALSE)</f>
        <v>56</v>
      </c>
      <c r="I6" s="4">
        <f>VLOOKUP(I$3,Table1[[#All],[Months]:[Product D]],4,FALSE)</f>
        <v>43</v>
      </c>
      <c r="J6" s="4">
        <f>VLOOKUP(J$3,Table1[[#All],[Months]:[Product D]],4,FALSE)</f>
        <v>12</v>
      </c>
      <c r="K6" s="4">
        <f>VLOOKUP(K$3,Table1[[#All],[Months]:[Product D]],4,FALSE)</f>
        <v>2</v>
      </c>
      <c r="L6" s="4">
        <f>VLOOKUP(L$3,Table1[[#All],[Months]:[Product D]],4,FALSE)</f>
        <v>15</v>
      </c>
      <c r="M6" s="68">
        <f>VLOOKUP(M$3,Table1[[#All],[Months]:[Product D]],4,FALSE)</f>
        <v>24</v>
      </c>
      <c r="N6" s="57"/>
      <c r="P6" s="2">
        <f t="shared" si="0"/>
        <v>0.83561643835616439</v>
      </c>
      <c r="Q6" s="1">
        <f t="shared" si="1"/>
        <v>1.8064516129032258</v>
      </c>
      <c r="R6" s="1">
        <v>7</v>
      </c>
      <c r="S6" s="1">
        <v>12</v>
      </c>
      <c r="T6" s="3">
        <f t="shared" si="2"/>
        <v>15.828104286345557</v>
      </c>
    </row>
    <row r="7" spans="1:20" ht="15.75" thickBot="1" x14ac:dyDescent="0.3">
      <c r="A7" s="69" t="s">
        <v>5</v>
      </c>
      <c r="B7" s="70">
        <f>VLOOKUP(B$3,Table1[[#All],[Months]:[Product D]],5,FALSE)</f>
        <v>33</v>
      </c>
      <c r="C7" s="70">
        <f>VLOOKUP(C$3,Table1[[#All],[Months]:[Product D]],5,FALSE)</f>
        <v>1</v>
      </c>
      <c r="D7" s="70">
        <f>VLOOKUP(D$3,Table1[[#All],[Months]:[Product D]],5,FALSE)</f>
        <v>43</v>
      </c>
      <c r="E7" s="70">
        <f>VLOOKUP(E$3,Table1[[#All],[Months]:[Product D]],5,FALSE)</f>
        <v>32</v>
      </c>
      <c r="F7" s="70">
        <f>VLOOKUP(F$3,Table1[[#All],[Months]:[Product D]],5,FALSE)</f>
        <v>4</v>
      </c>
      <c r="G7" s="70">
        <f>VLOOKUP(G$3,Table1[[#All],[Months]:[Product D]],5,FALSE)</f>
        <v>4</v>
      </c>
      <c r="H7" s="70">
        <f>VLOOKUP(H$3,Table1[[#All],[Months]:[Product D]],5,FALSE)</f>
        <v>36</v>
      </c>
      <c r="I7" s="70">
        <f>VLOOKUP(I$3,Table1[[#All],[Months]:[Product D]],5,FALSE)</f>
        <v>39</v>
      </c>
      <c r="J7" s="70">
        <f>VLOOKUP(J$3,Table1[[#All],[Months]:[Product D]],5,FALSE)</f>
        <v>60</v>
      </c>
      <c r="K7" s="70">
        <f>VLOOKUP(K$3,Table1[[#All],[Months]:[Product D]],5,FALSE)</f>
        <v>12</v>
      </c>
      <c r="L7" s="70">
        <f>VLOOKUP(L$3,Table1[[#All],[Months]:[Product D]],5,FALSE)</f>
        <v>4</v>
      </c>
      <c r="M7" s="71">
        <f>VLOOKUP(M$3,Table1[[#All],[Months]:[Product D]],5,FALSE)</f>
        <v>2</v>
      </c>
      <c r="N7" s="57"/>
      <c r="P7" s="62">
        <f t="shared" si="0"/>
        <v>0.73972602739726023</v>
      </c>
      <c r="Q7" s="5">
        <f t="shared" si="1"/>
        <v>1.935483870967742</v>
      </c>
      <c r="R7" s="5">
        <v>7</v>
      </c>
      <c r="S7" s="5">
        <v>12</v>
      </c>
      <c r="T7" s="63">
        <f t="shared" si="2"/>
        <v>18.047724259832084</v>
      </c>
    </row>
    <row r="8" spans="1:20" ht="15.75" thickBot="1" x14ac:dyDescent="0.3"/>
    <row r="9" spans="1:20" x14ac:dyDescent="0.25">
      <c r="A9" s="59" t="s">
        <v>39</v>
      </c>
      <c r="B9" s="60">
        <f>B4/$B$2</f>
        <v>9.6774193548387094E-2</v>
      </c>
      <c r="C9" s="60">
        <f t="shared" ref="C9:M9" si="3">C4/$B$2</f>
        <v>0.19354838709677419</v>
      </c>
      <c r="D9" s="60">
        <f t="shared" si="3"/>
        <v>1.4516129032258065</v>
      </c>
      <c r="E9" s="60">
        <f t="shared" si="3"/>
        <v>0.45161290322580644</v>
      </c>
      <c r="F9" s="60">
        <f t="shared" si="3"/>
        <v>1.2903225806451613</v>
      </c>
      <c r="G9" s="60">
        <f t="shared" si="3"/>
        <v>0.41935483870967744</v>
      </c>
      <c r="H9" s="60">
        <f t="shared" si="3"/>
        <v>1.4193548387096775</v>
      </c>
      <c r="I9" s="60">
        <f t="shared" si="3"/>
        <v>1.3548387096774193</v>
      </c>
      <c r="J9" s="60">
        <f t="shared" si="3"/>
        <v>1.5161290322580645</v>
      </c>
      <c r="K9" s="60">
        <f t="shared" si="3"/>
        <v>1.5483870967741935</v>
      </c>
      <c r="L9" s="60">
        <f t="shared" si="3"/>
        <v>0.25806451612903225</v>
      </c>
      <c r="M9" s="61">
        <f t="shared" si="3"/>
        <v>0.967741935483871</v>
      </c>
    </row>
    <row r="10" spans="1:20" x14ac:dyDescent="0.25">
      <c r="A10" s="67" t="s">
        <v>40</v>
      </c>
      <c r="B10" s="4">
        <f t="shared" ref="B10:M10" si="4">B5/$B$2</f>
        <v>0.90322580645161288</v>
      </c>
      <c r="C10" s="4">
        <f t="shared" si="4"/>
        <v>0.64516129032258063</v>
      </c>
      <c r="D10" s="4">
        <f t="shared" si="4"/>
        <v>0.12903225806451613</v>
      </c>
      <c r="E10" s="4">
        <f t="shared" si="4"/>
        <v>1.7741935483870968</v>
      </c>
      <c r="F10" s="4">
        <f t="shared" si="4"/>
        <v>0.67741935483870963</v>
      </c>
      <c r="G10" s="4">
        <f t="shared" si="4"/>
        <v>0.80645161290322576</v>
      </c>
      <c r="H10" s="4">
        <f t="shared" si="4"/>
        <v>0.12903225806451613</v>
      </c>
      <c r="I10" s="4">
        <f t="shared" si="4"/>
        <v>0.38709677419354838</v>
      </c>
      <c r="J10" s="4">
        <f t="shared" si="4"/>
        <v>1.1935483870967742</v>
      </c>
      <c r="K10" s="4">
        <f t="shared" si="4"/>
        <v>0.93548387096774188</v>
      </c>
      <c r="L10" s="4">
        <f t="shared" si="4"/>
        <v>1.096774193548387</v>
      </c>
      <c r="M10" s="68">
        <f t="shared" si="4"/>
        <v>0.67741935483870963</v>
      </c>
    </row>
    <row r="11" spans="1:20" x14ac:dyDescent="0.25">
      <c r="A11" s="67" t="s">
        <v>41</v>
      </c>
      <c r="B11" s="4">
        <f t="shared" ref="B11:M11" si="5">B6/$B$2</f>
        <v>1.064516129032258</v>
      </c>
      <c r="C11" s="4">
        <f t="shared" si="5"/>
        <v>0.41935483870967744</v>
      </c>
      <c r="D11" s="4">
        <f t="shared" si="5"/>
        <v>1.2258064516129032</v>
      </c>
      <c r="E11" s="4">
        <f t="shared" si="5"/>
        <v>1.032258064516129</v>
      </c>
      <c r="F11" s="4">
        <f t="shared" si="5"/>
        <v>1.1612903225806452</v>
      </c>
      <c r="G11" s="4">
        <f t="shared" si="5"/>
        <v>3.2258064516129031E-2</v>
      </c>
      <c r="H11" s="4">
        <f t="shared" si="5"/>
        <v>1.8064516129032258</v>
      </c>
      <c r="I11" s="4">
        <f t="shared" si="5"/>
        <v>1.3870967741935485</v>
      </c>
      <c r="J11" s="4">
        <f t="shared" si="5"/>
        <v>0.38709677419354838</v>
      </c>
      <c r="K11" s="4">
        <f t="shared" si="5"/>
        <v>6.4516129032258063E-2</v>
      </c>
      <c r="L11" s="4">
        <f t="shared" si="5"/>
        <v>0.4838709677419355</v>
      </c>
      <c r="M11" s="68">
        <f t="shared" si="5"/>
        <v>0.77419354838709675</v>
      </c>
    </row>
    <row r="12" spans="1:20" ht="15.75" thickBot="1" x14ac:dyDescent="0.3">
      <c r="A12" s="69" t="s">
        <v>42</v>
      </c>
      <c r="B12" s="70">
        <f t="shared" ref="B12:M12" si="6">B7/$B$2</f>
        <v>1.064516129032258</v>
      </c>
      <c r="C12" s="70">
        <f t="shared" si="6"/>
        <v>3.2258064516129031E-2</v>
      </c>
      <c r="D12" s="70">
        <f t="shared" si="6"/>
        <v>1.3870967741935485</v>
      </c>
      <c r="E12" s="70">
        <f t="shared" si="6"/>
        <v>1.032258064516129</v>
      </c>
      <c r="F12" s="70">
        <f t="shared" si="6"/>
        <v>0.12903225806451613</v>
      </c>
      <c r="G12" s="70">
        <f t="shared" si="6"/>
        <v>0.12903225806451613</v>
      </c>
      <c r="H12" s="70">
        <f t="shared" si="6"/>
        <v>1.1612903225806452</v>
      </c>
      <c r="I12" s="70">
        <f t="shared" si="6"/>
        <v>1.2580645161290323</v>
      </c>
      <c r="J12" s="70">
        <f t="shared" si="6"/>
        <v>1.935483870967742</v>
      </c>
      <c r="K12" s="70">
        <f t="shared" si="6"/>
        <v>0.38709677419354838</v>
      </c>
      <c r="L12" s="70">
        <f t="shared" si="6"/>
        <v>0.12903225806451613</v>
      </c>
      <c r="M12" s="71">
        <f t="shared" si="6"/>
        <v>6.4516129032258063E-2</v>
      </c>
    </row>
  </sheetData>
  <mergeCells count="1">
    <mergeCell ref="P2:T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8783D-314C-494E-99BD-690C55E223A1}">
  <dimension ref="A1:K8"/>
  <sheetViews>
    <sheetView workbookViewId="0">
      <selection activeCell="D5" sqref="D5"/>
    </sheetView>
  </sheetViews>
  <sheetFormatPr defaultRowHeight="15" x14ac:dyDescent="0.25"/>
  <cols>
    <col min="2" max="2" width="67.7109375" bestFit="1" customWidth="1"/>
    <col min="3" max="3" width="15" customWidth="1"/>
    <col min="4" max="4" width="6.7109375" bestFit="1" customWidth="1"/>
    <col min="5" max="5" width="17.85546875" customWidth="1"/>
    <col min="8" max="8" width="18" bestFit="1" customWidth="1"/>
  </cols>
  <sheetData>
    <row r="1" spans="1:11" s="76" customFormat="1" ht="21" x14ac:dyDescent="0.35">
      <c r="A1" s="123" t="s">
        <v>27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</row>
    <row r="2" spans="1:11" x14ac:dyDescent="0.25">
      <c r="B2" t="s">
        <v>28</v>
      </c>
      <c r="E2" t="s">
        <v>34</v>
      </c>
      <c r="F2">
        <v>12</v>
      </c>
      <c r="H2" t="s">
        <v>33</v>
      </c>
      <c r="I2">
        <v>7</v>
      </c>
    </row>
    <row r="4" spans="1:11" x14ac:dyDescent="0.25">
      <c r="B4" t="s">
        <v>29</v>
      </c>
      <c r="C4" t="s">
        <v>30</v>
      </c>
      <c r="D4" t="s">
        <v>31</v>
      </c>
      <c r="E4" t="s">
        <v>32</v>
      </c>
    </row>
    <row r="5" spans="1:11" x14ac:dyDescent="0.25">
      <c r="B5" t="s">
        <v>2</v>
      </c>
      <c r="C5">
        <v>1</v>
      </c>
      <c r="D5" s="75">
        <f>'Safety Stock'!P4*'Safety Stock'!R4+'Safety Stock'!T4</f>
        <v>18.58064516129032</v>
      </c>
      <c r="E5" t="str">
        <f>IF(C5&lt;=D5,"Re-Order","Sufficient")</f>
        <v>Re-Order</v>
      </c>
    </row>
    <row r="6" spans="1:11" x14ac:dyDescent="0.25">
      <c r="B6" t="s">
        <v>3</v>
      </c>
      <c r="C6">
        <v>22</v>
      </c>
      <c r="D6" s="75">
        <f>'Safety Stock'!P5*'Safety Stock'!R5+'Safety Stock'!T5</f>
        <v>21.29032258064516</v>
      </c>
      <c r="E6" s="77" t="str">
        <f t="shared" ref="E6:E8" si="0">IF(C6&lt;=D6,"Re-Order","Sufficient")</f>
        <v>Sufficient</v>
      </c>
    </row>
    <row r="7" spans="1:11" x14ac:dyDescent="0.25">
      <c r="B7" t="s">
        <v>4</v>
      </c>
      <c r="C7">
        <v>22</v>
      </c>
      <c r="D7" s="75">
        <f>'Safety Stock'!P6*'Safety Stock'!R6+'Safety Stock'!T6</f>
        <v>21.677419354838708</v>
      </c>
      <c r="E7" s="77" t="str">
        <f t="shared" si="0"/>
        <v>Sufficient</v>
      </c>
    </row>
    <row r="8" spans="1:11" x14ac:dyDescent="0.25">
      <c r="B8" t="s">
        <v>5</v>
      </c>
      <c r="C8">
        <v>14</v>
      </c>
      <c r="D8" s="75">
        <f>'Safety Stock'!P7*'Safety Stock'!R7+'Safety Stock'!T7</f>
        <v>23.225806451612904</v>
      </c>
      <c r="E8" s="77" t="str">
        <f t="shared" si="0"/>
        <v>Re-Order</v>
      </c>
    </row>
  </sheetData>
  <mergeCells count="1">
    <mergeCell ref="A1:K1"/>
  </mergeCells>
  <conditionalFormatting sqref="E5:E8">
    <cfRule type="cellIs" dxfId="3" priority="1" operator="equal">
      <formula>"Re-Order"</formula>
    </cfRule>
    <cfRule type="cellIs" dxfId="2" priority="2" operator="equal">
      <formula>"Re-Order"</formula>
    </cfRule>
    <cfRule type="cellIs" dxfId="1" priority="3" operator="equal">
      <formula>"Re-Order"</formula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7F8B-6A44-4AFE-BDFB-47FE3C7CD5EC}">
  <dimension ref="A1:K13"/>
  <sheetViews>
    <sheetView tabSelected="1" workbookViewId="0">
      <selection activeCell="M19" sqref="M19"/>
    </sheetView>
  </sheetViews>
  <sheetFormatPr defaultRowHeight="15" x14ac:dyDescent="0.25"/>
  <cols>
    <col min="1" max="1" width="19.140625" bestFit="1" customWidth="1"/>
  </cols>
  <sheetData>
    <row r="1" spans="1:11" ht="21" x14ac:dyDescent="0.35">
      <c r="A1" s="124" t="s">
        <v>66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x14ac:dyDescent="0.25">
      <c r="A2" t="s">
        <v>45</v>
      </c>
      <c r="B2" t="s">
        <v>49</v>
      </c>
      <c r="C2">
        <v>80000</v>
      </c>
      <c r="D2" t="s">
        <v>53</v>
      </c>
    </row>
    <row r="3" spans="1:11" x14ac:dyDescent="0.25">
      <c r="A3" t="s">
        <v>46</v>
      </c>
      <c r="B3" t="s">
        <v>50</v>
      </c>
      <c r="C3">
        <v>200</v>
      </c>
      <c r="D3" t="s">
        <v>54</v>
      </c>
    </row>
    <row r="4" spans="1:11" x14ac:dyDescent="0.25">
      <c r="A4" t="s">
        <v>47</v>
      </c>
      <c r="B4" t="s">
        <v>52</v>
      </c>
      <c r="C4" s="78">
        <v>0.05</v>
      </c>
      <c r="D4" t="s">
        <v>55</v>
      </c>
    </row>
    <row r="5" spans="1:11" x14ac:dyDescent="0.25">
      <c r="A5" t="s">
        <v>48</v>
      </c>
      <c r="B5" t="s">
        <v>51</v>
      </c>
      <c r="C5">
        <v>30</v>
      </c>
      <c r="D5" t="s">
        <v>56</v>
      </c>
    </row>
    <row r="6" spans="1:11" x14ac:dyDescent="0.25">
      <c r="A6" t="s">
        <v>43</v>
      </c>
      <c r="B6" t="s">
        <v>67</v>
      </c>
      <c r="C6">
        <v>500</v>
      </c>
      <c r="D6" t="s">
        <v>68</v>
      </c>
    </row>
    <row r="8" spans="1:11" x14ac:dyDescent="0.25">
      <c r="B8" t="s">
        <v>57</v>
      </c>
      <c r="C8" s="79">
        <f>SQRT((2*D*Co)/(Ch*P))</f>
        <v>4618.8021535170055</v>
      </c>
    </row>
    <row r="10" spans="1:11" x14ac:dyDescent="0.25">
      <c r="A10" t="s">
        <v>61</v>
      </c>
      <c r="B10" t="s">
        <v>62</v>
      </c>
      <c r="C10">
        <v>4618.8021535484086</v>
      </c>
    </row>
    <row r="11" spans="1:11" x14ac:dyDescent="0.25">
      <c r="A11" t="s">
        <v>58</v>
      </c>
      <c r="B11" t="s">
        <v>65</v>
      </c>
      <c r="C11">
        <f>((Q/2)+Ss)*(Ch*P)</f>
        <v>4214.1016151613067</v>
      </c>
    </row>
    <row r="12" spans="1:11" x14ac:dyDescent="0.25">
      <c r="A12" t="s">
        <v>60</v>
      </c>
      <c r="B12" t="s">
        <v>59</v>
      </c>
      <c r="C12">
        <f>(D/Q)*Co</f>
        <v>3464.1016151142026</v>
      </c>
    </row>
    <row r="13" spans="1:11" x14ac:dyDescent="0.25">
      <c r="A13" t="s">
        <v>64</v>
      </c>
      <c r="B13" t="s">
        <v>63</v>
      </c>
      <c r="C13">
        <f>To+Th</f>
        <v>7678.2032302755088</v>
      </c>
    </row>
  </sheetData>
  <mergeCells count="1">
    <mergeCell ref="A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</vt:i4>
      </vt:variant>
    </vt:vector>
  </HeadingPairs>
  <TitlesOfParts>
    <vt:vector size="19" baseType="lpstr">
      <vt:lpstr>Actual Demand Database</vt:lpstr>
      <vt:lpstr>Naive Forecasts</vt:lpstr>
      <vt:lpstr>Weighted Moving Average</vt:lpstr>
      <vt:lpstr>Exponential Smoothing</vt:lpstr>
      <vt:lpstr>ARIMA </vt:lpstr>
      <vt:lpstr>ARIMA Calculation of Cos</vt:lpstr>
      <vt:lpstr>Measures of Errors</vt:lpstr>
      <vt:lpstr>Safety Stock</vt:lpstr>
      <vt:lpstr>Re-Order Point</vt:lpstr>
      <vt:lpstr>EOQ</vt:lpstr>
      <vt:lpstr>Ch</vt:lpstr>
      <vt:lpstr>Co</vt:lpstr>
      <vt:lpstr>D</vt:lpstr>
      <vt:lpstr>P</vt:lpstr>
      <vt:lpstr>Q</vt:lpstr>
      <vt:lpstr>Ss</vt:lpstr>
      <vt:lpstr>T</vt:lpstr>
      <vt:lpstr>Th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Dzadey Awuku</dc:creator>
  <cp:lastModifiedBy>Richard Dzadey Awuku</cp:lastModifiedBy>
  <dcterms:created xsi:type="dcterms:W3CDTF">2023-04-24T10:58:44Z</dcterms:created>
  <dcterms:modified xsi:type="dcterms:W3CDTF">2023-04-27T15:53:43Z</dcterms:modified>
</cp:coreProperties>
</file>